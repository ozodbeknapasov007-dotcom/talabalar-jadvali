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3" firstSheet="0" activeTab="0" autoFilterDateGrouping="1"/>
  </bookViews>
  <sheets>
    <sheet xmlns:r="http://schemas.openxmlformats.org/officeDocument/2006/relationships" name="bank" sheetId="1" state="visible" r:id="rId1"/>
    <sheet xmlns:r="http://schemas.openxmlformats.org/officeDocument/2006/relationships" name="не трогать" sheetId="2" state="hidden" r:id="rId2"/>
    <sheet xmlns:r="http://schemas.openxmlformats.org/officeDocument/2006/relationships" name="KETGAN" sheetId="3" state="hidden" r:id="rId3"/>
    <sheet xmlns:r="http://schemas.openxmlformats.org/officeDocument/2006/relationships" name="1 chi kurs" sheetId="4" state="hidden" r:id="rId4"/>
  </sheets>
  <definedNames>
    <definedName name="_xlnm._FilterDatabase" localSheetId="0" hidden="1">'bank'!$A$1:$J$161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??_-;_-@_-"/>
  </numFmts>
  <fonts count="25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indexed="8"/>
      <sz val="11"/>
    </font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sz val="11"/>
      <scheme val="minor"/>
    </font>
    <font>
      <name val="Tahoma"/>
      <charset val="204"/>
      <family val="2"/>
      <color theme="1"/>
      <sz val="9"/>
    </font>
    <font>
      <name val="Calibri Light"/>
      <charset val="204"/>
      <family val="2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57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color theme="0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9" tint="0.7999816888943144"/>
        <bgColor theme="9" tint="0.799981688894314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theme="8" tint="0.799981688894314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6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/>
      <bottom/>
      <diagonal/>
    </border>
    <border>
      <left/>
      <right/>
      <top style="thin">
        <color theme="8" tint="0.3999755851924192"/>
      </top>
      <bottom style="thin">
        <color theme="8" tint="0.3999755851924192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theme="8" tint="0.3999755851924192"/>
      </right>
      <top style="thin">
        <color theme="8" tint="0.3999755851924192"/>
      </top>
      <bottom style="thin">
        <color theme="8" tint="0.399975585192419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3" fillId="0" borderId="0"/>
    <xf numFmtId="0" fontId="2" fillId="0" borderId="0"/>
    <xf numFmtId="43" fontId="3" fillId="0" borderId="0"/>
    <xf numFmtId="9" fontId="3" fillId="0" borderId="0"/>
    <xf numFmtId="0" fontId="7" fillId="0" borderId="0"/>
    <xf numFmtId="0" fontId="10" fillId="0" borderId="0"/>
    <xf numFmtId="0" fontId="11" fillId="0" borderId="7"/>
    <xf numFmtId="0" fontId="12" fillId="0" borderId="8"/>
    <xf numFmtId="0" fontId="13" fillId="0" borderId="9"/>
    <xf numFmtId="0" fontId="13" fillId="0" borderId="0"/>
    <xf numFmtId="0" fontId="14" fillId="6" borderId="0"/>
    <xf numFmtId="0" fontId="15" fillId="7" borderId="0"/>
    <xf numFmtId="0" fontId="16" fillId="8" borderId="0"/>
    <xf numFmtId="0" fontId="17" fillId="9" borderId="10"/>
    <xf numFmtId="0" fontId="18" fillId="10" borderId="11"/>
    <xf numFmtId="0" fontId="19" fillId="10" borderId="10"/>
    <xf numFmtId="0" fontId="20" fillId="0" borderId="12"/>
    <xf numFmtId="0" fontId="21" fillId="11" borderId="13"/>
    <xf numFmtId="0" fontId="22" fillId="0" borderId="0"/>
    <xf numFmtId="0" fontId="23" fillId="0" borderId="0"/>
    <xf numFmtId="0" fontId="4" fillId="0" borderId="15"/>
    <xf numFmtId="0" fontId="24" fillId="13" borderId="0"/>
    <xf numFmtId="0" fontId="7" fillId="14" borderId="0"/>
    <xf numFmtId="0" fontId="7" fillId="15" borderId="0"/>
    <xf numFmtId="0" fontId="7" fillId="16" borderId="0"/>
    <xf numFmtId="0" fontId="24" fillId="17" borderId="0"/>
    <xf numFmtId="0" fontId="7" fillId="18" borderId="0"/>
    <xf numFmtId="0" fontId="7" fillId="19" borderId="0"/>
    <xf numFmtId="0" fontId="7" fillId="20" borderId="0"/>
    <xf numFmtId="0" fontId="24" fillId="21" borderId="0"/>
    <xf numFmtId="0" fontId="7" fillId="22" borderId="0"/>
    <xf numFmtId="0" fontId="7" fillId="23" borderId="0"/>
    <xf numFmtId="0" fontId="7" fillId="24" borderId="0"/>
    <xf numFmtId="0" fontId="24" fillId="25" borderId="0"/>
    <xf numFmtId="0" fontId="7" fillId="26" borderId="0"/>
    <xf numFmtId="0" fontId="7" fillId="27" borderId="0"/>
    <xf numFmtId="0" fontId="7" fillId="28" borderId="0"/>
    <xf numFmtId="0" fontId="24" fillId="29" borderId="0"/>
    <xf numFmtId="0" fontId="7" fillId="30" borderId="0"/>
    <xf numFmtId="0" fontId="7" fillId="31" borderId="0"/>
    <xf numFmtId="0" fontId="7" fillId="32" borderId="0"/>
    <xf numFmtId="0" fontId="24" fillId="33" borderId="0"/>
    <xf numFmtId="0" fontId="7" fillId="34" borderId="0"/>
    <xf numFmtId="0" fontId="7" fillId="35" borderId="0"/>
    <xf numFmtId="0" fontId="7" fillId="36" borderId="0"/>
    <xf numFmtId="0" fontId="7" fillId="0" borderId="0"/>
    <xf numFmtId="0" fontId="7" fillId="12" borderId="14"/>
  </cellStyleXfs>
  <cellXfs count="45">
    <xf numFmtId="0" fontId="0" fillId="0" borderId="0" pivotButton="0" quotePrefix="0" xfId="0"/>
    <xf numFmtId="164" fontId="0" fillId="0" borderId="0" pivotButton="0" quotePrefix="0" xfId="2"/>
    <xf numFmtId="0" fontId="5" fillId="0" borderId="0" pivotButton="0" quotePrefix="0" xfId="0"/>
    <xf numFmtId="165" fontId="0" fillId="0" borderId="0" pivotButton="0" quotePrefix="0" xfId="2"/>
    <xf numFmtId="14" fontId="0" fillId="0" borderId="0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165" fontId="0" fillId="2" borderId="2" applyAlignment="1" pivotButton="0" quotePrefix="0" xfId="0">
      <alignment horizontal="center"/>
    </xf>
    <xf numFmtId="0" fontId="6" fillId="0" borderId="3" applyAlignment="1" pivotButton="0" quotePrefix="0" xfId="0">
      <alignment horizontal="center" vertical="center" wrapText="1"/>
    </xf>
    <xf numFmtId="9" fontId="0" fillId="0" borderId="0" pivotButton="0" quotePrefix="0" xfId="3"/>
    <xf numFmtId="165" fontId="5" fillId="0" borderId="0" pivotButton="0" quotePrefix="0" xfId="2"/>
    <xf numFmtId="0" fontId="0" fillId="0" borderId="4" pivotButton="0" quotePrefix="0" xfId="0"/>
    <xf numFmtId="0" fontId="0" fillId="3" borderId="0" pivotButton="0" quotePrefix="0" xfId="0"/>
    <xf numFmtId="0" fontId="0" fillId="4" borderId="4" pivotButton="0" quotePrefix="0" xfId="0"/>
    <xf numFmtId="0" fontId="0" fillId="4" borderId="0" pivotButton="0" quotePrefix="0" xfId="0"/>
    <xf numFmtId="0" fontId="0" fillId="5" borderId="4" pivotButton="0" quotePrefix="0" xfId="0"/>
    <xf numFmtId="0" fontId="0" fillId="3" borderId="4" pivotButton="0" quotePrefix="0" xfId="0"/>
    <xf numFmtId="165" fontId="0" fillId="5" borderId="4" pivotButton="0" quotePrefix="0" xfId="0"/>
    <xf numFmtId="164" fontId="0" fillId="5" borderId="4" pivotButton="0" quotePrefix="0" xfId="0"/>
    <xf numFmtId="164" fontId="0" fillId="5" borderId="6" pivotButton="0" quotePrefix="0" xfId="0"/>
    <xf numFmtId="165" fontId="0" fillId="0" borderId="4" pivotButton="0" quotePrefix="0" xfId="0"/>
    <xf numFmtId="164" fontId="0" fillId="0" borderId="4" pivotButton="0" quotePrefix="0" xfId="0"/>
    <xf numFmtId="164" fontId="0" fillId="0" borderId="6" pivotButton="0" quotePrefix="0" xfId="0"/>
    <xf numFmtId="165" fontId="8" fillId="5" borderId="4" pivotButton="0" quotePrefix="0" xfId="0"/>
    <xf numFmtId="165" fontId="8" fillId="0" borderId="4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9" fillId="3" borderId="5" applyAlignment="1" pivotButton="0" quotePrefix="0" xfId="0">
      <alignment horizontal="center"/>
    </xf>
    <xf numFmtId="14" fontId="0" fillId="0" borderId="5" pivotButton="0" quotePrefix="0" xfId="0"/>
    <xf numFmtId="0" fontId="0" fillId="0" borderId="5" pivotButton="0" quotePrefix="0" xfId="0"/>
    <xf numFmtId="0" fontId="0" fillId="4" borderId="0" pivotButton="0" quotePrefix="0" xfId="0"/>
    <xf numFmtId="0" fontId="9" fillId="3" borderId="0" applyAlignment="1" pivotButton="0" quotePrefix="0" xfId="0">
      <alignment horizontal="center"/>
    </xf>
    <xf numFmtId="165" fontId="0" fillId="0" borderId="0" pivotButton="0" quotePrefix="0" xfId="2"/>
    <xf numFmtId="165" fontId="5" fillId="0" borderId="0" pivotButton="0" quotePrefix="0" xfId="2"/>
    <xf numFmtId="165" fontId="0" fillId="2" borderId="2" applyAlignment="1" pivotButton="0" quotePrefix="0" xfId="0">
      <alignment horizontal="center"/>
    </xf>
    <xf numFmtId="165" fontId="0" fillId="5" borderId="4" pivotButton="0" quotePrefix="0" xfId="0"/>
    <xf numFmtId="164" fontId="0" fillId="5" borderId="4" pivotButton="0" quotePrefix="0" xfId="0"/>
    <xf numFmtId="164" fontId="0" fillId="5" borderId="6" pivotButton="0" quotePrefix="0" xfId="0"/>
    <xf numFmtId="165" fontId="0" fillId="0" borderId="4" pivotButton="0" quotePrefix="0" xfId="0"/>
    <xf numFmtId="164" fontId="0" fillId="0" borderId="4" pivotButton="0" quotePrefix="0" xfId="0"/>
    <xf numFmtId="164" fontId="0" fillId="0" borderId="6" pivotButton="0" quotePrefix="0" xfId="0"/>
    <xf numFmtId="165" fontId="8" fillId="5" borderId="4" pivotButton="0" quotePrefix="0" xfId="0"/>
    <xf numFmtId="165" fontId="8" fillId="0" borderId="4" pivotButton="0" quotePrefix="0" xfId="0"/>
    <xf numFmtId="164" fontId="0" fillId="0" borderId="0" pivotButton="0" quotePrefix="0" xfId="2"/>
  </cellXfs>
  <cellStyles count="47">
    <cellStyle name="Обычный" xfId="0" builtinId="0"/>
    <cellStyle name="Обычный 2" xfId="1"/>
    <cellStyle name="Финансовый" xfId="2" builtinId="3"/>
    <cellStyle name="Процентный" xfId="3" builtinId="5"/>
    <cellStyle name="Обычный 3" xfId="4"/>
    <cellStyle name="Название" xfId="5" builtinId="15"/>
    <cellStyle name="Заголовок 1" xfId="6" builtinId="16"/>
    <cellStyle name="Заголовок 2" xfId="7" builtinId="17"/>
    <cellStyle name="Заголовок 3" xfId="8" builtinId="18"/>
    <cellStyle name="Заголовок 4" xfId="9" builtinId="19"/>
    <cellStyle name="Хороший" xfId="10" builtinId="26"/>
    <cellStyle name="Плохой" xfId="11" builtinId="27"/>
    <cellStyle name="Нейтральный" xfId="12" builtinId="28"/>
    <cellStyle name="Ввод " xfId="13" builtinId="20"/>
    <cellStyle name="Вывод" xfId="14" builtinId="21"/>
    <cellStyle name="Вычисление" xfId="15" builtinId="22"/>
    <cellStyle name="Связанная ячейка" xfId="16" builtinId="24"/>
    <cellStyle name="Контрольная ячейка" xfId="17" builtinId="23"/>
    <cellStyle name="Текст предупреждения" xfId="18" builtinId="11"/>
    <cellStyle name="Пояснение" xfId="19" builtinId="53"/>
    <cellStyle name="Итог" xfId="20" builtinId="25"/>
    <cellStyle name="Акцент1" xfId="21" builtinId="29"/>
    <cellStyle name="20% — акцент1" xfId="22" builtinId="30"/>
    <cellStyle name="40% — акцент1" xfId="23" builtinId="31"/>
    <cellStyle name="60% — акцент1" xfId="24" builtinId="32"/>
    <cellStyle name="Акцент2" xfId="25" builtinId="33"/>
    <cellStyle name="20% — акцент2" xfId="26" builtinId="34"/>
    <cellStyle name="40% — акцент2" xfId="27" builtinId="35"/>
    <cellStyle name="60% — акцент2" xfId="28" builtinId="36"/>
    <cellStyle name="Акцент3" xfId="29" builtinId="37"/>
    <cellStyle name="20% — акцент3" xfId="30" builtinId="38"/>
    <cellStyle name="40% — акцент3" xfId="31" builtinId="39"/>
    <cellStyle name="60% — акцент3" xfId="32" builtinId="40"/>
    <cellStyle name="Акцент4" xfId="33" builtinId="41"/>
    <cellStyle name="20% — акцент4" xfId="34" builtinId="42"/>
    <cellStyle name="40% — акцент4" xfId="35" builtinId="43"/>
    <cellStyle name="60% — акцент4" xfId="36" builtinId="44"/>
    <cellStyle name="Акцент5" xfId="37" builtinId="45"/>
    <cellStyle name="20% — акцент5" xfId="38" builtinId="46"/>
    <cellStyle name="40% — акцент5" xfId="39" builtinId="47"/>
    <cellStyle name="60% — акцент5" xfId="40" builtinId="48"/>
    <cellStyle name="Акцент6" xfId="41" builtinId="49"/>
    <cellStyle name="20% — акцент6" xfId="42" builtinId="50"/>
    <cellStyle name="40% — акцент6" xfId="43" builtinId="51"/>
    <cellStyle name="60% — акцент6" xfId="44" builtinId="52"/>
    <cellStyle name="Обычный 4" xfId="45"/>
    <cellStyle name="Примечание 2" xfId="46"/>
  </cellStyles>
  <dxfs count="3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1"/>
  <sheetViews>
    <sheetView tabSelected="1" zoomScale="96" zoomScaleNormal="96" workbookViewId="0">
      <pane ySplit="1" topLeftCell="A2" activePane="bottomLeft" state="frozen"/>
      <selection activeCell="M26" sqref="M26"/>
      <selection pane="bottomLeft" activeCell="B20" sqref="B20"/>
    </sheetView>
  </sheetViews>
  <sheetFormatPr baseColWidth="8" defaultColWidth="8.85546875" defaultRowHeight="15"/>
  <cols>
    <col width="16.85546875" customWidth="1" min="1" max="1"/>
    <col width="39.85546875" customWidth="1" min="2" max="2"/>
    <col width="18.28515625" customWidth="1" min="3" max="3"/>
    <col width="11.85546875" customWidth="1" min="4" max="4"/>
    <col width="11.7109375" customWidth="1" min="5" max="5"/>
    <col width="28.85546875" customWidth="1" min="6" max="6"/>
    <col width="16.42578125" bestFit="1" customWidth="1" style="33" min="7" max="7"/>
    <col width="85.5703125" customWidth="1" style="27" min="8" max="8"/>
    <col width="36.7109375" customWidth="1" min="9" max="9"/>
    <col width="8.140625" customWidth="1" min="10" max="10"/>
    <col width="85.140625" customWidth="1" min="11" max="11"/>
    <col width="119.5703125" customWidth="1" min="12" max="12"/>
    <col width="65.140625" customWidth="1" min="17" max="17"/>
    <col width="31.140625" customWidth="1" min="18" max="18"/>
    <col width="21" customWidth="1" min="19" max="19"/>
  </cols>
  <sheetData>
    <row r="1" ht="15.75" customHeight="1">
      <c r="A1" s="2" t="inlineStr">
        <is>
          <t>Дата</t>
        </is>
      </c>
      <c r="B1" s="2" t="inlineStr">
        <is>
          <t>Счет/ИНН</t>
        </is>
      </c>
      <c r="C1" s="2" t="inlineStr">
        <is>
          <t>№ док-та</t>
        </is>
      </c>
      <c r="D1" s="2" t="inlineStr">
        <is>
          <t>Оп</t>
        </is>
      </c>
      <c r="E1" s="2" t="inlineStr">
        <is>
          <t>МФО</t>
        </is>
      </c>
      <c r="F1" s="2" t="inlineStr">
        <is>
          <t>Оборот Дебет</t>
        </is>
      </c>
      <c r="G1" s="34" t="inlineStr">
        <is>
          <t>Оборот Кредит</t>
        </is>
      </c>
      <c r="H1" s="26" t="inlineStr">
        <is>
          <t>Назначение платежа</t>
        </is>
      </c>
      <c r="I1" s="2" t="inlineStr">
        <is>
          <t>Talabaning F.I.SH</t>
        </is>
      </c>
      <c r="J1" s="2" t="inlineStr">
        <is>
          <t>Shartnoma raqami</t>
        </is>
      </c>
    </row>
    <row r="2">
      <c r="A2" s="29" t="n">
        <v>9666</v>
      </c>
      <c r="B2" s="32" t="inlineStr">
        <is>
          <t>yangi shot</t>
        </is>
      </c>
      <c r="C2" t="inlineStr">
        <is>
          <t>Транзитный счет для разовых платежей               200542744</t>
        </is>
      </c>
      <c r="D2" t="inlineStr">
        <is>
          <t>8422272</t>
        </is>
      </c>
      <c r="E2" t="inlineStr">
        <is>
          <t>06</t>
        </is>
      </c>
      <c r="F2" t="inlineStr">
        <is>
          <t>01048</t>
        </is>
      </c>
      <c r="G2" t="n">
        <v>1275000</v>
      </c>
      <c r="H2" t="inlineStr">
        <is>
          <t>0066708/06/2026й №25/26 Sh/A388 сонли шартномага асосан Toshmurodova Sarvara нинг контракт тулови от TOSHMURODOVA SARVARA</t>
        </is>
      </c>
      <c r="I2" t="inlineStr">
        <is>
          <t>Toshmurodova Sarvara</t>
        </is>
      </c>
      <c r="J2" t="inlineStr">
        <is>
          <t>25/26 Sh/A 388</t>
        </is>
      </c>
    </row>
    <row r="3">
      <c r="A3" s="29" t="n">
        <v>9671</v>
      </c>
      <c r="B3" s="32" t="inlineStr">
        <is>
          <t>yangi shot</t>
        </is>
      </c>
      <c r="C3" t="inlineStr">
        <is>
          <t>Транзитный счет для разовых платежей               200542744</t>
        </is>
      </c>
      <c r="D3" t="inlineStr">
        <is>
          <t>8557261</t>
        </is>
      </c>
      <c r="E3" t="inlineStr">
        <is>
          <t>06</t>
        </is>
      </c>
      <c r="F3" t="inlineStr">
        <is>
          <t>01048</t>
        </is>
      </c>
      <c r="G3" s="27" t="n">
        <v>1200000</v>
      </c>
      <c r="H3" t="inlineStr">
        <is>
          <t>0065522.06.2026 йилдаги №26/27 SH/A07-сонли шартномага кура Тураева Севинчнинг контракт тулови учун от Юлдошев Суннатилло</t>
        </is>
      </c>
      <c r="I3" t="inlineStr">
        <is>
          <t>Turaeva Sevinch</t>
        </is>
      </c>
      <c r="J3" t="inlineStr">
        <is>
          <t>26/27 Sh/A 07</t>
        </is>
      </c>
    </row>
    <row r="4">
      <c r="A4" s="30" t="inlineStr">
        <is>
          <t>03.07.26</t>
        </is>
      </c>
      <c r="B4" s="32" t="inlineStr">
        <is>
          <t>yangi shot</t>
        </is>
      </c>
      <c r="C4" t="inlineStr">
        <is>
          <t>YULDUZ RAXIMOVA                                    309016201</t>
        </is>
      </c>
      <c r="D4" t="inlineStr">
        <is>
          <t>13498525</t>
        </is>
      </c>
      <c r="E4" t="inlineStr">
        <is>
          <t>21</t>
        </is>
      </c>
      <c r="F4" t="inlineStr">
        <is>
          <t>01190</t>
        </is>
      </c>
      <c r="G4" t="n">
        <v>1275000</v>
      </c>
      <c r="H4" t="inlineStr">
        <is>
          <t>00667Pirnazariva Jasmina Kontrakt tulovi uchun</t>
        </is>
      </c>
      <c r="I4" t="inlineStr">
        <is>
          <t>Pirnazariva Jasmina</t>
        </is>
      </c>
      <c r="J4" t="inlineStr"/>
    </row>
    <row r="5">
      <c r="A5" s="30" t="inlineStr">
        <is>
          <t>07.07.26</t>
        </is>
      </c>
      <c r="B5" s="32" t="inlineStr">
        <is>
          <t>yangi shot</t>
        </is>
      </c>
      <c r="C5" t="inlineStr">
        <is>
          <t>Транзитный счет для разовых платежей               200542744</t>
        </is>
      </c>
      <c r="D5" t="inlineStr">
        <is>
          <t>8876082</t>
        </is>
      </c>
      <c r="E5" t="inlineStr">
        <is>
          <t>06</t>
        </is>
      </c>
      <c r="F5" t="inlineStr">
        <is>
          <t>01048</t>
        </is>
      </c>
      <c r="G5" t="n">
        <v>1275000</v>
      </c>
      <c r="H5" t="inlineStr">
        <is>
          <t>0066527.06.2026 й Шартнома№26/27 sh/a 21 га асосан талаба TURAYEVA GULASAL JURA QIZI нинг контракт тулови утказилди от TURAYEVA GULASAL JURA QIZI</t>
        </is>
      </c>
      <c r="I5" t="inlineStr">
        <is>
          <t>Turayeva Gulasal Jura qizi</t>
        </is>
      </c>
      <c r="J5" t="inlineStr">
        <is>
          <t>26/27 Sh/A 21</t>
        </is>
      </c>
    </row>
    <row r="6">
      <c r="A6" s="29" t="n">
        <v>46211</v>
      </c>
      <c r="B6" s="32" t="inlineStr">
        <is>
          <t>yangi shot</t>
        </is>
      </c>
      <c r="C6" t="inlineStr">
        <is>
          <t>Транзитный счет для разовых платежей               200542744</t>
        </is>
      </c>
      <c r="D6" t="inlineStr">
        <is>
          <t>8921203</t>
        </is>
      </c>
      <c r="E6" t="inlineStr">
        <is>
          <t>06</t>
        </is>
      </c>
      <c r="F6" t="inlineStr">
        <is>
          <t>01048</t>
        </is>
      </c>
      <c r="G6" t="n">
        <v>1000000</v>
      </c>
      <c r="H6" t="inlineStr">
        <is>
          <t>0065508,07,2026й №26/27 Sh/A 45 шартномага асосан ESHBOBOYEVA FOTIMA NURALI QIZI(AD0697178)нинг контракт тулови от ESHBOBOYEVA FOTIMA</t>
        </is>
      </c>
      <c r="I6" s="12" t="inlineStr">
        <is>
          <t>Eshboboyeva Fotima Nurali qizi</t>
        </is>
      </c>
      <c r="J6" t="inlineStr">
        <is>
          <t>26/27 Sh/A 45</t>
        </is>
      </c>
      <c r="K6" s="31" t="n"/>
      <c r="L6" s="31" t="n"/>
      <c r="M6" s="31" t="n"/>
    </row>
    <row r="7">
      <c r="A7" s="29" t="n">
        <v>46213</v>
      </c>
      <c r="B7" s="32" t="inlineStr">
        <is>
          <t>yangi shot</t>
        </is>
      </c>
      <c r="C7" t="inlineStr">
        <is>
          <t>Т/счет для спис с ПК физлиц по другим платежам (70 200542744</t>
        </is>
      </c>
      <c r="D7" t="inlineStr">
        <is>
          <t>8970168</t>
        </is>
      </c>
      <c r="E7" t="inlineStr">
        <is>
          <t>06</t>
        </is>
      </c>
      <c r="F7" t="inlineStr">
        <is>
          <t>01048</t>
        </is>
      </c>
      <c r="G7" t="n">
        <v>1000000</v>
      </c>
      <c r="H7" t="inlineStr">
        <is>
          <t>006550065524.06.2026 Y №26/27 SH/A14 SHARTNOMAGA ASOSAN XAMDAMOVA MADINA ABDUQODIR QIZI (AB8517012) NING KONTRAKT TULOVI от MEYLIKOVA MAXFUZA</t>
        </is>
      </c>
      <c r="I7" t="inlineStr">
        <is>
          <t>Xamdamova Madina Abduqodir qizi</t>
        </is>
      </c>
      <c r="J7" t="inlineStr">
        <is>
          <t>26/27 Sh/A 14</t>
        </is>
      </c>
    </row>
    <row r="8">
      <c r="A8" s="29" t="n">
        <v>46224</v>
      </c>
      <c r="B8" s="32" t="inlineStr">
        <is>
          <t>yangi shot</t>
        </is>
      </c>
      <c r="C8" t="inlineStr">
        <is>
          <t>Накд пулда бир мартталик туловлар буйича хисоб кит 207215726</t>
        </is>
      </c>
      <c r="D8" t="inlineStr">
        <is>
          <t>372517728</t>
        </is>
      </c>
      <c r="E8" t="inlineStr">
        <is>
          <t>21</t>
        </is>
      </c>
      <c r="F8" t="inlineStr">
        <is>
          <t>01125</t>
        </is>
      </c>
      <c r="G8" t="n">
        <v>1000000</v>
      </c>
      <c r="H8" t="inlineStr">
        <is>
          <t>00995BURIYEVA MOHIRA ABDUG'AFFOR QIZI SHARTNOMAGA ASOSAN KANTRAKT TULOVI UCHUN</t>
        </is>
      </c>
      <c r="I8" t="inlineStr">
        <is>
          <t>Buriyeva Mohira Abdug'affor qizi</t>
        </is>
      </c>
      <c r="J8" t="inlineStr"/>
    </row>
    <row r="9">
      <c r="A9" s="29" t="n">
        <v>46224</v>
      </c>
      <c r="B9" s="32" t="inlineStr">
        <is>
          <t>yangi shot</t>
        </is>
      </c>
      <c r="C9" t="inlineStr">
        <is>
          <t>Транзитный счет для разовых платежей               200542744</t>
        </is>
      </c>
      <c r="D9" t="inlineStr">
        <is>
          <t>9186931</t>
        </is>
      </c>
      <c r="E9" t="inlineStr">
        <is>
          <t>06</t>
        </is>
      </c>
      <c r="F9" t="inlineStr">
        <is>
          <t>01048</t>
        </is>
      </c>
      <c r="G9" t="n">
        <v>1275000</v>
      </c>
      <c r="H9" t="inlineStr">
        <is>
          <t>0066726.06.2026й №26/27 Sh/A20 сонли шартномага асосан Темирбоева Ироданинг контракт тулови утказилди от ТОЖИЕВА КЛАРА</t>
        </is>
      </c>
      <c r="I9" t="inlineStr">
        <is>
          <t>Temirboeva Iroda</t>
        </is>
      </c>
      <c r="J9" t="inlineStr">
        <is>
          <t>26/27 Sh/A 20</t>
        </is>
      </c>
    </row>
    <row r="10">
      <c r="A10" s="29" t="n">
        <v>46226</v>
      </c>
      <c r="B10" s="32" t="inlineStr">
        <is>
          <t>yangi shot</t>
        </is>
      </c>
      <c r="C10" t="inlineStr">
        <is>
          <t>Транзитный счет для разовых платежей               200542744</t>
        </is>
      </c>
      <c r="D10" t="inlineStr">
        <is>
          <t>9236319</t>
        </is>
      </c>
      <c r="E10" t="inlineStr">
        <is>
          <t>06</t>
        </is>
      </c>
      <c r="F10" t="inlineStr">
        <is>
          <t>01048</t>
        </is>
      </c>
      <c r="G10" t="n">
        <v>1700000</v>
      </c>
      <c r="H10" t="inlineStr">
        <is>
          <t>0066717.07.2026й №26/27 Sh/A 65 сонли шартномага асосан Исомиддинова Рухшонанинг контракт тулови утказилди от YULDOSHEVA DILNOZA</t>
        </is>
      </c>
      <c r="I10" t="inlineStr">
        <is>
          <t>Isomiddinova Ruxshona</t>
        </is>
      </c>
      <c r="J10" t="inlineStr">
        <is>
          <t>26/27 Sh/A 65</t>
        </is>
      </c>
    </row>
    <row r="11">
      <c r="A11" s="29" t="n">
        <v>46227</v>
      </c>
      <c r="B11" s="28" t="inlineStr">
        <is>
          <t>yangi shot</t>
        </is>
      </c>
      <c r="C11" s="30" t="inlineStr">
        <is>
          <t>Транзитный счет для разовых платежей               200542744</t>
        </is>
      </c>
      <c r="D11" s="30" t="inlineStr">
        <is>
          <t>9278872</t>
        </is>
      </c>
      <c r="E11" s="30" t="inlineStr">
        <is>
          <t>06</t>
        </is>
      </c>
      <c r="F11" s="30" t="inlineStr">
        <is>
          <t>01048</t>
        </is>
      </c>
      <c r="G11" s="30" t="n">
        <v>1700000</v>
      </c>
      <c r="H11" s="30" t="inlineStr">
        <is>
          <t>0066718.06.2026й №26/27Sh/A02 сонли шартномага асосан XURRAMOVA SHODIYA AROL QIZI нинг коньракт тулови от XURRAMOVA SHODIYA</t>
        </is>
      </c>
      <c r="I11" t="inlineStr">
        <is>
          <t>Xurramova Shodiya Arol qizi</t>
        </is>
      </c>
      <c r="J11" t="inlineStr">
        <is>
          <t>26/27 Sh/A 02</t>
        </is>
      </c>
    </row>
    <row r="12">
      <c r="A12" s="29" t="n">
        <v>46227</v>
      </c>
      <c r="B12" s="32" t="inlineStr">
        <is>
          <t>yangi shot</t>
        </is>
      </c>
      <c r="C12" t="inlineStr">
        <is>
          <t>Транзитный счет для разовых платежей               200542744</t>
        </is>
      </c>
      <c r="D12" t="inlineStr">
        <is>
          <t>9268348</t>
        </is>
      </c>
      <c r="E12" t="inlineStr">
        <is>
          <t>06</t>
        </is>
      </c>
      <c r="F12" t="inlineStr">
        <is>
          <t>01048</t>
        </is>
      </c>
      <c r="G12" t="n">
        <v>1275000</v>
      </c>
      <c r="H12" t="inlineStr">
        <is>
          <t>0065503.07.2026 йилдаги №26/27 SH/A 33-сонли шартномага асосан контракт тулови учун от Ахмадова Муниса</t>
        </is>
      </c>
      <c r="I12" t="inlineStr">
        <is>
          <t>Axmadova Munisa</t>
        </is>
      </c>
      <c r="J12" t="inlineStr">
        <is>
          <t>26/27 Sh/A 33</t>
        </is>
      </c>
    </row>
    <row r="13">
      <c r="A13" s="29" t="n">
        <v>46230</v>
      </c>
      <c r="B13" s="32" t="inlineStr">
        <is>
          <t>yangi shot</t>
        </is>
      </c>
      <c r="C13" t="inlineStr">
        <is>
          <t>Чакана амалиётлар кассаси филиал                   200542744</t>
        </is>
      </c>
      <c r="D13" t="inlineStr">
        <is>
          <t>9292025</t>
        </is>
      </c>
      <c r="E13" t="inlineStr">
        <is>
          <t>93</t>
        </is>
      </c>
      <c r="F13" t="inlineStr">
        <is>
          <t>01048</t>
        </is>
      </c>
      <c r="G13" t="n">
        <v>1700000</v>
      </c>
      <c r="H13" t="inlineStr">
        <is>
          <t>001420,07,2026й №26/27 Sh/A 79 шартномага асосан UMAROVA IRODA MUZAFFAR QIZI(AE5293914)нинг контракт тулови от Назарова Ойша</t>
        </is>
      </c>
      <c r="I13" t="inlineStr">
        <is>
          <t>Umarova Iroda Muzaffar qizi</t>
        </is>
      </c>
      <c r="J13" t="inlineStr">
        <is>
          <t>26/27 Sh/A 79</t>
        </is>
      </c>
    </row>
    <row r="14">
      <c r="A14" s="29" t="n">
        <v>46230</v>
      </c>
      <c r="B14" s="32" t="inlineStr">
        <is>
          <t>yangi shot</t>
        </is>
      </c>
      <c r="C14" t="inlineStr">
        <is>
          <t>Чакана амалиётлар кассаси филиал                   200542744</t>
        </is>
      </c>
      <c r="D14" t="inlineStr">
        <is>
          <t>9291251</t>
        </is>
      </c>
      <c r="E14" t="inlineStr">
        <is>
          <t>93</t>
        </is>
      </c>
      <c r="F14" t="inlineStr">
        <is>
          <t>01048</t>
        </is>
      </c>
      <c r="G14" t="n">
        <v>1200000</v>
      </c>
      <c r="H14" t="inlineStr">
        <is>
          <t>001422.06.2026й Шартнома№26/27 sh/a 05 га асосан талаба ESHPULATOAV SHAHNOZA SHERALI QIZIнинг 1-курс 40910203-Хамширалик иши учун контракт тулови утказилди от SHERALIEVA NARGIZA</t>
        </is>
      </c>
      <c r="I14" t="inlineStr">
        <is>
          <t>Eshpulatoav Shahnoza Sherali qizi</t>
        </is>
      </c>
      <c r="J14" t="inlineStr">
        <is>
          <t>26/27 Sh/A 05</t>
        </is>
      </c>
    </row>
    <row r="15">
      <c r="A15" s="29" t="n">
        <v>46230</v>
      </c>
      <c r="B15" s="32" t="inlineStr">
        <is>
          <t>yangi shot</t>
        </is>
      </c>
      <c r="C15" t="inlineStr">
        <is>
          <t>Чакана амалиётлар кассаси филиал                   200542744</t>
        </is>
      </c>
      <c r="D15" t="inlineStr">
        <is>
          <t>9292121</t>
        </is>
      </c>
      <c r="E15" t="inlineStr">
        <is>
          <t>93</t>
        </is>
      </c>
      <c r="F15" t="inlineStr">
        <is>
          <t>01048</t>
        </is>
      </c>
      <c r="G15" t="n">
        <v>1700000</v>
      </c>
      <c r="H15" t="inlineStr">
        <is>
          <t>001420,07,2026й №26/27 Sh/A 74 шартномага асосан SAYDALIMOVA RUXSHONA SHAROFIDDIN QIZI(AE3352294)нинг контракт тулови от Амонова Сожида</t>
        </is>
      </c>
      <c r="I15" t="inlineStr">
        <is>
          <t>Saydalimova Ruxshona Sharofiddin qizi</t>
        </is>
      </c>
      <c r="J15" t="inlineStr">
        <is>
          <t>26/27 Sh/A 74</t>
        </is>
      </c>
    </row>
    <row r="16">
      <c r="A16" s="29" t="n">
        <v>46231</v>
      </c>
      <c r="B16" s="32" t="inlineStr">
        <is>
          <t>yangi shot</t>
        </is>
      </c>
      <c r="C16" t="inlineStr">
        <is>
          <t>Транзитный счет для разовых платежей               200542744</t>
        </is>
      </c>
      <c r="D16" t="inlineStr">
        <is>
          <t>9329157</t>
        </is>
      </c>
      <c r="E16" t="inlineStr">
        <is>
          <t>06</t>
        </is>
      </c>
      <c r="F16" t="inlineStr">
        <is>
          <t>01048</t>
        </is>
      </c>
      <c r="G16" t="n">
        <v>1275000</v>
      </c>
      <c r="H16" t="inlineStr">
        <is>
          <t>0066722.06.2026 йил №26/27 Sh/A 06 шартномага асосан 1-курс талабаси Турабоева Сабринанинг укиши учун тулов от Турабоева Сабрина</t>
        </is>
      </c>
      <c r="I16" s="31" t="inlineStr">
        <is>
          <t>Turaboeva Sabrina</t>
        </is>
      </c>
      <c r="J16" t="inlineStr">
        <is>
          <t>26/27 Sh/A 06</t>
        </is>
      </c>
    </row>
    <row r="17">
      <c r="A17" s="29" t="n">
        <v>46231</v>
      </c>
      <c r="B17" s="32" t="inlineStr">
        <is>
          <t>yangi shot</t>
        </is>
      </c>
      <c r="C17" t="inlineStr">
        <is>
          <t>Т/счет для спис с ПК физлиц по другим платежам (70 200542744</t>
        </is>
      </c>
      <c r="D17" t="inlineStr">
        <is>
          <t>9326135</t>
        </is>
      </c>
      <c r="E17" t="inlineStr">
        <is>
          <t>06</t>
        </is>
      </c>
      <c r="F17" t="inlineStr">
        <is>
          <t>01048</t>
        </is>
      </c>
      <c r="G17" t="n">
        <v>1300000</v>
      </c>
      <c r="H17" t="inlineStr">
        <is>
          <t>0065522.06.2026й Шартнома№ 26/27 sh/a 11 га асосан талаба Тошева Азиза Шерзод кизининг 1-курс 40910203-Хамширалик иши учун контракт тулови утказилди от TOSHEVA AZIZA</t>
        </is>
      </c>
      <c r="I17" s="31" t="inlineStr">
        <is>
          <t>Tosheva Aziza Sherzod qizi</t>
        </is>
      </c>
      <c r="J17" t="inlineStr">
        <is>
          <t>26/27 Sh/A 11</t>
        </is>
      </c>
    </row>
    <row r="18">
      <c r="A18" s="29" t="n">
        <v>46233</v>
      </c>
      <c r="B18" s="32" t="inlineStr">
        <is>
          <t>yangi shot</t>
        </is>
      </c>
      <c r="C18" t="inlineStr">
        <is>
          <t>Накд пулда бир мартталик туловлар буйича хисоб кит 207215726</t>
        </is>
      </c>
      <c r="D18" t="inlineStr">
        <is>
          <t>372927932</t>
        </is>
      </c>
      <c r="E18" t="inlineStr">
        <is>
          <t>21</t>
        </is>
      </c>
      <c r="F18" t="inlineStr">
        <is>
          <t>01125</t>
        </is>
      </c>
      <c r="G18" t="n">
        <v>1700000</v>
      </c>
      <c r="H18" t="inlineStr">
        <is>
          <t>00995Meyliqulova Hilola Farhod qizi Kontrakt tulovi</t>
        </is>
      </c>
      <c r="I18" s="12" t="inlineStr">
        <is>
          <t>Meyliqulova Hilola Farhod qizi</t>
        </is>
      </c>
      <c r="J18" t="inlineStr"/>
      <c r="K18" s="31" t="n"/>
      <c r="L18" s="31" t="n"/>
      <c r="M18" s="31" t="n"/>
      <c r="N18" s="31" t="n"/>
    </row>
    <row r="19">
      <c r="A19" s="29" t="n">
        <v>46232</v>
      </c>
      <c r="B19" s="28" t="inlineStr">
        <is>
          <t>yangi shot</t>
        </is>
      </c>
      <c r="C19" s="30" t="inlineStr">
        <is>
          <t>Транзитный счет для разовых платежей               200542744</t>
        </is>
      </c>
      <c r="D19" s="30" t="inlineStr">
        <is>
          <t>9344988</t>
        </is>
      </c>
      <c r="E19" s="30" t="inlineStr">
        <is>
          <t>06</t>
        </is>
      </c>
      <c r="F19" s="30" t="inlineStr">
        <is>
          <t>01048</t>
        </is>
      </c>
      <c r="G19" s="30" t="n">
        <v>1275000</v>
      </c>
      <c r="H19" s="30" t="inlineStr">
        <is>
          <t>0066703.07.2026йил шартномага асосан Сайфиева Зарина Ахмад Кизи(AD7984192)нинг контракт тулови от МАХМУДОВА ЗАМИРА</t>
        </is>
      </c>
      <c r="I19" t="inlineStr">
        <is>
          <t>Sayfieva Zarina Axmad qizi</t>
        </is>
      </c>
      <c r="J19" t="inlineStr"/>
    </row>
    <row r="20">
      <c r="A20" s="29" t="n">
        <v>46232</v>
      </c>
      <c r="B20" s="32" t="inlineStr">
        <is>
          <t>yangi shot</t>
        </is>
      </c>
      <c r="C20" t="inlineStr">
        <is>
          <t>Транзитный счет для разовых платежей               200542744</t>
        </is>
      </c>
      <c r="D20" t="inlineStr">
        <is>
          <t>9346202</t>
        </is>
      </c>
      <c r="E20" t="inlineStr">
        <is>
          <t>06</t>
        </is>
      </c>
      <c r="F20" t="inlineStr">
        <is>
          <t>01048</t>
        </is>
      </c>
      <c r="G20" t="n">
        <v>1300000</v>
      </c>
      <c r="H20" t="inlineStr">
        <is>
          <t>0066719.06.2026 YILDAGI №26/27 Sh/A 03 SONLI SHARTNOMAGA ASOSAN SAYFILLAYEVA SHODIYONA NING KONTRAKT TO'LOVI O'TKAZILDI (AE4385111) Банка «Ипак Йули»(10111) QARSHI TIBBIYOT TEXNIKUMI NTM от SAYFILLAYEVA SHODIYONA</t>
        </is>
      </c>
      <c r="I20" t="inlineStr">
        <is>
          <t>Sayfillayeva Shodiyona</t>
        </is>
      </c>
      <c r="J20" t="inlineStr">
        <is>
          <t>26/27 Sh/A 03</t>
        </is>
      </c>
    </row>
    <row r="21">
      <c r="A21" s="29" t="n">
        <v>46232</v>
      </c>
      <c r="B21" s="32" t="inlineStr">
        <is>
          <t>yangi shot</t>
        </is>
      </c>
      <c r="C21" t="inlineStr">
        <is>
          <t>Транзитный счет для разовых платежей               200542744</t>
        </is>
      </c>
      <c r="D21" t="inlineStr">
        <is>
          <t>9350822</t>
        </is>
      </c>
      <c r="E21" t="inlineStr">
        <is>
          <t>06</t>
        </is>
      </c>
      <c r="F21" t="inlineStr">
        <is>
          <t>01048</t>
        </is>
      </c>
      <c r="G21" t="n">
        <v>1200000</v>
      </c>
      <c r="H21" t="inlineStr">
        <is>
          <t>0065507.07.2026й №26/27 Sh/A 44 шартномага асосан BAHODIROVA ASILA OLMOS QIZI(AE1222596)нинг контракт тулови от SUVONOV OLMOS</t>
        </is>
      </c>
      <c r="I21" t="inlineStr">
        <is>
          <t>Bahodirova Asila Olmos qizi</t>
        </is>
      </c>
      <c r="J21" t="inlineStr">
        <is>
          <t>26/27 Sh/A 44</t>
        </is>
      </c>
    </row>
    <row r="22">
      <c r="A22" s="29" t="n">
        <v>46234</v>
      </c>
      <c r="B22" s="32" t="inlineStr">
        <is>
          <t>yangi shot</t>
        </is>
      </c>
      <c r="C22" t="inlineStr">
        <is>
          <t>Транзитный счет для разовых платежей               200542744</t>
        </is>
      </c>
      <c r="D22" t="inlineStr">
        <is>
          <t>9402125</t>
        </is>
      </c>
      <c r="E22" t="inlineStr">
        <is>
          <t>06</t>
        </is>
      </c>
      <c r="F22" t="inlineStr">
        <is>
          <t>01048</t>
        </is>
      </c>
      <c r="G22" t="n">
        <v>1700000</v>
      </c>
      <c r="H22" t="inlineStr">
        <is>
          <t>0066713.07.2026й №26/27 Sh/A55 сонли шартномага асосан QARSHIYEVA SHAHLO нинг контракт тулови утказилди от QARSHIYEVA SHAHLO</t>
        </is>
      </c>
      <c r="I22" t="inlineStr">
        <is>
          <t>Qarshiyeva Shahlo</t>
        </is>
      </c>
      <c r="J22" t="inlineStr">
        <is>
          <t>26/27 Sh/A 55</t>
        </is>
      </c>
    </row>
    <row r="23">
      <c r="A23" s="29" t="n">
        <v>46234</v>
      </c>
      <c r="B23" s="32" t="inlineStr">
        <is>
          <t>yangi shot</t>
        </is>
      </c>
      <c r="C23" t="inlineStr">
        <is>
          <t>JURAYEVA DILNOZ G`OIBNAZAROVNA                     201055108</t>
        </is>
      </c>
      <c r="D23" t="inlineStr">
        <is>
          <t>0000000006</t>
        </is>
      </c>
      <c r="E23" t="inlineStr">
        <is>
          <t>06</t>
        </is>
      </c>
      <c r="F23" t="inlineStr">
        <is>
          <t>00446</t>
        </is>
      </c>
      <c r="G23" t="n">
        <v>1700000</v>
      </c>
      <c r="H23" t="inlineStr">
        <is>
          <t>00111JURAYEVA DILNOZ GOIBNAZAROVNANING SHARTNOMAGA №26/27 ASOSAN UQISH TULOVI JURAYEVA DILNOZ G`OIBNAZAROVNA</t>
        </is>
      </c>
      <c r="I23" t="inlineStr">
        <is>
          <t>Jurayeva Dilnoz G'oibnazarovna</t>
        </is>
      </c>
      <c r="J23" t="inlineStr"/>
    </row>
    <row r="24">
      <c r="A24" s="29" t="n">
        <v>46234</v>
      </c>
      <c r="B24" s="32" t="inlineStr">
        <is>
          <t>yangi shot</t>
        </is>
      </c>
      <c r="C24" t="inlineStr">
        <is>
          <t>Банк филиалида жисмоний шахслардан бошка бир марта 207243390</t>
        </is>
      </c>
      <c r="D24" t="inlineStr">
        <is>
          <t>0199133109</t>
        </is>
      </c>
      <c r="E24" t="inlineStr">
        <is>
          <t>06</t>
        </is>
      </c>
      <c r="F24" t="inlineStr">
        <is>
          <t>00176</t>
        </is>
      </c>
      <c r="G24" t="n">
        <v>2000000</v>
      </c>
      <c r="H24" t="inlineStr">
        <is>
          <t>00667 Berdimurodova Nafosat AD9709558 kantrakt tulovi uchun</t>
        </is>
      </c>
      <c r="I24" t="inlineStr">
        <is>
          <t>Berdimurodova Nafosat</t>
        </is>
      </c>
      <c r="J24" t="inlineStr"/>
    </row>
    <row r="25">
      <c r="A25" s="29" t="n">
        <v>46240</v>
      </c>
      <c r="B25" s="28" t="inlineStr">
        <is>
          <t>yangi shot</t>
        </is>
      </c>
      <c r="C25" s="30" t="inlineStr">
        <is>
          <t>Жисмоний шахслардан накд пул оркали кабул килинган 200836354</t>
        </is>
      </c>
      <c r="D25" s="30" t="inlineStr">
        <is>
          <t>39634355</t>
        </is>
      </c>
      <c r="E25" s="30" t="inlineStr">
        <is>
          <t>21</t>
        </is>
      </c>
      <c r="F25" s="30" t="inlineStr">
        <is>
          <t>00450</t>
        </is>
      </c>
      <c r="G25" s="30" t="n">
        <v>1700000</v>
      </c>
      <c r="H25" s="30" t="inlineStr">
        <is>
          <t>00111TOSHPULATOVA ASILA №SH/A 112.29.07.2026 SONLI SHARTNOMAGA ASOSAN KANTRAKT TULOVI</t>
        </is>
      </c>
      <c r="I25" t="inlineStr">
        <is>
          <t>Toshpulatova Asila</t>
        </is>
      </c>
      <c r="J25" t="inlineStr">
        <is>
          <t>Sh/A 112</t>
        </is>
      </c>
    </row>
    <row r="26">
      <c r="A26" s="29" t="n">
        <v>46240</v>
      </c>
      <c r="B26" s="32" t="inlineStr">
        <is>
          <t>yangi shot</t>
        </is>
      </c>
      <c r="C26" t="inlineStr">
        <is>
          <t>Транзитный счет для разовых платежей               200542744</t>
        </is>
      </c>
      <c r="D26" t="inlineStr">
        <is>
          <t>9525599</t>
        </is>
      </c>
      <c r="E26" t="inlineStr">
        <is>
          <t>06</t>
        </is>
      </c>
      <c r="F26" t="inlineStr">
        <is>
          <t>01048</t>
        </is>
      </c>
      <c r="G26" t="n">
        <v>1500000</v>
      </c>
      <c r="H26" t="inlineStr">
        <is>
          <t>0066706.08.2026 YILDAGI № 26/27 SH/A148 SONLI SHARNOMAGA ASOSAN 1-KURS UROQOVA JASMINA JASUR QIZINING KANTRAK TULOVI от UROQOVA JASMINA JASUR QIZI</t>
        </is>
      </c>
      <c r="I26" t="inlineStr">
        <is>
          <t>Uroqova Jasmina Jasur qizi</t>
        </is>
      </c>
      <c r="J26" t="inlineStr">
        <is>
          <t>26/27 Sh/A 148</t>
        </is>
      </c>
    </row>
    <row r="27">
      <c r="A27" s="29" t="n">
        <v>46240</v>
      </c>
      <c r="B27" s="28" t="inlineStr">
        <is>
          <t>yangi shot</t>
        </is>
      </c>
      <c r="C27" s="30" t="inlineStr">
        <is>
          <t>Транзитный счет для разовых платежей               200542744</t>
        </is>
      </c>
      <c r="D27" s="30" t="inlineStr">
        <is>
          <t>9533788</t>
        </is>
      </c>
      <c r="E27" s="30" t="inlineStr">
        <is>
          <t>06</t>
        </is>
      </c>
      <c r="F27" s="30" t="inlineStr">
        <is>
          <t>01048</t>
        </is>
      </c>
      <c r="G27" s="30" t="n">
        <v>1700000</v>
      </c>
      <c r="H27" s="30" t="inlineStr">
        <is>
          <t>0066705.08.2026 йилдаги №26/27 Sh/A146 сонли шартномага асосан Samatova Oydin Sulaymonovna ни укиши учун утказилди от Samatova Oydin Sulaymonovna</t>
        </is>
      </c>
      <c r="I27" t="inlineStr">
        <is>
          <t>Samatova Oydin Sulaymonovna</t>
        </is>
      </c>
      <c r="J27" t="inlineStr">
        <is>
          <t>26/27 Sh/A 146</t>
        </is>
      </c>
    </row>
    <row r="28">
      <c r="A28" s="29" t="n">
        <v>46241</v>
      </c>
      <c r="B28" s="32" t="inlineStr">
        <is>
          <t>yangi shot</t>
        </is>
      </c>
      <c r="C28" t="inlineStr">
        <is>
          <t>ЧАК 01109 "Китоб" БХМ прочие разовые платежи       201055090</t>
        </is>
      </c>
      <c r="D28" t="inlineStr">
        <is>
          <t>13708499</t>
        </is>
      </c>
      <c r="E28" t="inlineStr">
        <is>
          <t>21</t>
        </is>
      </c>
      <c r="F28" t="inlineStr">
        <is>
          <t>00491</t>
        </is>
      </c>
      <c r="G28" t="n">
        <v>1275000</v>
      </c>
      <c r="H28" t="inlineStr">
        <is>
          <t>00108Xurramova Shahnoza Shuhrat qizi 01.07.2026-yil № 26/27 SH/A 29 shartnomaga asosan kontrakt tulovi</t>
        </is>
      </c>
      <c r="I28" t="inlineStr">
        <is>
          <t>Xurramova Shahnoza Shuhrat qizi</t>
        </is>
      </c>
      <c r="J28" t="inlineStr">
        <is>
          <t>26/27 Sh/A 29</t>
        </is>
      </c>
    </row>
    <row r="29">
      <c r="A29" s="29" t="n">
        <v>46244</v>
      </c>
      <c r="B29" s="32" t="inlineStr">
        <is>
          <t>yangi shot</t>
        </is>
      </c>
      <c r="C29" t="inlineStr">
        <is>
          <t>Транзитный счет для разовых платежей               200542744</t>
        </is>
      </c>
      <c r="D29" t="inlineStr">
        <is>
          <t>9576140</t>
        </is>
      </c>
      <c r="E29" t="inlineStr">
        <is>
          <t>06</t>
        </is>
      </c>
      <c r="F29" t="inlineStr">
        <is>
          <t>01048</t>
        </is>
      </c>
      <c r="G29" t="n">
        <v>1700000</v>
      </c>
      <c r="H29" t="inlineStr">
        <is>
          <t>00655ШАМСИЕВА ФОТИМА ШАРТНОМА №26/27 SH/А107 27.07.2026 йилга асосан укиш учун тулов. от ШАМСИЕВА ФОТИМА</t>
        </is>
      </c>
      <c r="I29" t="inlineStr">
        <is>
          <t>Shamsieva Fotima</t>
        </is>
      </c>
      <c r="J29" t="inlineStr">
        <is>
          <t>26/27 Sh/A 107</t>
        </is>
      </c>
    </row>
    <row r="30">
      <c r="A30" s="29" t="n">
        <v>46244</v>
      </c>
      <c r="B30" s="32" t="inlineStr">
        <is>
          <t>yangi shot</t>
        </is>
      </c>
      <c r="C30" t="inlineStr">
        <is>
          <t>Транзитный счет для разовых платежей               200542744</t>
        </is>
      </c>
      <c r="D30" t="inlineStr">
        <is>
          <t>9587262</t>
        </is>
      </c>
      <c r="E30" t="inlineStr">
        <is>
          <t>06</t>
        </is>
      </c>
      <c r="F30" t="inlineStr">
        <is>
          <t>01048</t>
        </is>
      </c>
      <c r="G30" t="n">
        <v>1700000</v>
      </c>
      <c r="H30" t="inlineStr">
        <is>
          <t>0065520,07,2026й №26/27 Sh/A 75 шартномага асосан YORBOBOYEVA MAHLIYO XUSAN QIZI(AB9239333)нинг контракт тулови от YORBOBOYEVA MAHLIYO</t>
        </is>
      </c>
      <c r="I30" t="inlineStr">
        <is>
          <t>Yorboboyeva Mahliyo Xusan qizi</t>
        </is>
      </c>
      <c r="J30" t="inlineStr">
        <is>
          <t>26/27 Sh/A 75</t>
        </is>
      </c>
    </row>
    <row r="31">
      <c r="A31" s="29" t="n">
        <v>46244</v>
      </c>
      <c r="B31" s="32" t="inlineStr">
        <is>
          <t>yangi shot</t>
        </is>
      </c>
      <c r="C31" t="inlineStr">
        <is>
          <t>Жисмоний шахслардан накд пул оркали кабул килинган 200836354</t>
        </is>
      </c>
      <c r="D31" t="inlineStr">
        <is>
          <t>39697033</t>
        </is>
      </c>
      <c r="E31" t="inlineStr">
        <is>
          <t>21</t>
        </is>
      </c>
      <c r="F31" t="inlineStr">
        <is>
          <t>00450</t>
        </is>
      </c>
      <c r="G31" t="n">
        <v>1700000</v>
      </c>
      <c r="H31" t="inlineStr">
        <is>
          <t>00111XAYDAROVA IRODA ZARIF QIZI №26/27 SH/A 113.29.07.2026 SONLI SHARTNOMAGA ASOSAN KANTRAKT TULOVI</t>
        </is>
      </c>
      <c r="I31" t="inlineStr">
        <is>
          <t>Xaydarova Iroda Zarif qizi</t>
        </is>
      </c>
      <c r="J31" t="inlineStr">
        <is>
          <t>26/27 Sh/A 113</t>
        </is>
      </c>
    </row>
    <row r="32">
      <c r="A32" s="29" t="n">
        <v>46244</v>
      </c>
      <c r="B32" s="28" t="inlineStr">
        <is>
          <t>yangi shot</t>
        </is>
      </c>
      <c r="C32" s="30" t="inlineStr">
        <is>
          <t>Транзитный счет для разовых платежей               200542744</t>
        </is>
      </c>
      <c r="D32" s="30" t="inlineStr">
        <is>
          <t>9578359</t>
        </is>
      </c>
      <c r="E32" s="30" t="inlineStr">
        <is>
          <t>06</t>
        </is>
      </c>
      <c r="F32" s="30" t="inlineStr">
        <is>
          <t>01048</t>
        </is>
      </c>
      <c r="G32" s="30" t="n">
        <v>1275000</v>
      </c>
      <c r="H32" s="30" t="inlineStr">
        <is>
          <t>0065529.06.2026й Шартнома№26/27 sh/a 26 га асосан талаба Halimova Sevinch(AD8735102) нинг контракт тулови утказилди от ESHONQULOVA SHAXNOZA</t>
        </is>
      </c>
      <c r="I32" t="inlineStr">
        <is>
          <t>Halimova Sevinch</t>
        </is>
      </c>
      <c r="J32" t="inlineStr">
        <is>
          <t>26/27 Sh/A 26</t>
        </is>
      </c>
    </row>
    <row r="33">
      <c r="A33" s="29" t="n">
        <v>46238</v>
      </c>
      <c r="B33" s="32" t="inlineStr">
        <is>
          <t>yangi shot</t>
        </is>
      </c>
      <c r="C33" t="inlineStr">
        <is>
          <t>Транзитный счет для разовых платежей               200542744</t>
        </is>
      </c>
      <c r="D33" t="inlineStr">
        <is>
          <t>9469581</t>
        </is>
      </c>
      <c r="E33" t="inlineStr">
        <is>
          <t>06</t>
        </is>
      </c>
      <c r="F33" t="inlineStr">
        <is>
          <t>01048</t>
        </is>
      </c>
      <c r="G33" t="n">
        <v>1700000</v>
      </c>
      <c r="H33" t="inlineStr">
        <is>
          <t>0066701.08.2026 йил №120 шартномага асосан Махмудова Мафтуна(AE4270256)нинг контракт тулови от ХОЛИКОВ ТУРА</t>
        </is>
      </c>
      <c r="I33" t="inlineStr">
        <is>
          <t>Maxmudova Maftuna</t>
        </is>
      </c>
      <c r="J33" t="inlineStr">
        <is>
          <t>№ 120</t>
        </is>
      </c>
    </row>
    <row r="34">
      <c r="A34" s="29" t="n">
        <v>46238</v>
      </c>
      <c r="B34" s="28" t="inlineStr">
        <is>
          <t>yangi shot</t>
        </is>
      </c>
      <c r="C34" s="30" t="inlineStr">
        <is>
          <t>Транзитный счет для разовых платежей               200542744</t>
        </is>
      </c>
      <c r="D34" s="30" t="inlineStr">
        <is>
          <t>9468067</t>
        </is>
      </c>
      <c r="E34" s="30" t="inlineStr">
        <is>
          <t>06</t>
        </is>
      </c>
      <c r="F34" s="30" t="inlineStr">
        <is>
          <t>01048</t>
        </is>
      </c>
      <c r="G34" s="30" t="n">
        <v>1000000</v>
      </c>
      <c r="H34" s="30" t="inlineStr">
        <is>
          <t>0065511.07.2026 №26/27 SH/A 52 ga asosan Xurramova Sabina (AC3081523) ning kontrakt tulovi uchun от ABDULLAYEV YULDOSH</t>
        </is>
      </c>
      <c r="I34" t="inlineStr">
        <is>
          <t>Xurramova Sabina</t>
        </is>
      </c>
      <c r="J34" t="inlineStr">
        <is>
          <t>26/27 Sh/A 52</t>
        </is>
      </c>
    </row>
    <row r="35">
      <c r="A35" s="29" t="n">
        <v>46245</v>
      </c>
      <c r="B35" s="32" t="inlineStr">
        <is>
          <t>yangi shot</t>
        </is>
      </c>
      <c r="C35" t="inlineStr">
        <is>
          <t>Транзитный счет для разовых платежей               200542744</t>
        </is>
      </c>
      <c r="D35" t="inlineStr">
        <is>
          <t>9716063</t>
        </is>
      </c>
      <c r="E35" t="inlineStr">
        <is>
          <t>06</t>
        </is>
      </c>
      <c r="F35" t="inlineStr">
        <is>
          <t>01048</t>
        </is>
      </c>
      <c r="G35" t="n">
        <v>1700000</v>
      </c>
      <c r="H35" t="inlineStr">
        <is>
          <t>0066727.08/2026 йил №108 шартномага асосан Холмахматова Севинчнинг контракт тулови от XOLMAXMATOVA SEVINCH</t>
        </is>
      </c>
      <c r="I35" t="inlineStr">
        <is>
          <t>Xolmaxmatova Sevinch</t>
        </is>
      </c>
      <c r="J35" t="inlineStr">
        <is>
          <t>№ 108</t>
        </is>
      </c>
    </row>
    <row r="36">
      <c r="A36" s="29" t="n">
        <v>46245</v>
      </c>
      <c r="B36" s="32" t="inlineStr">
        <is>
          <t>yangi shot</t>
        </is>
      </c>
      <c r="C36" t="inlineStr">
        <is>
          <t>Транзитный счет для разовых платежей               200542744</t>
        </is>
      </c>
      <c r="D36" t="inlineStr">
        <is>
          <t>9708075</t>
        </is>
      </c>
      <c r="E36" t="inlineStr">
        <is>
          <t>06</t>
        </is>
      </c>
      <c r="F36" t="inlineStr">
        <is>
          <t>01048</t>
        </is>
      </c>
      <c r="G36" t="n">
        <v>1700000</v>
      </c>
      <c r="H36" t="inlineStr">
        <is>
          <t>0066724.07.2026 йил №2627 Sh/A93 шартномага асосан 1-курс талабаси Зарифова Маржона Самижон кизининг укиши учун тулов от ZARIFOVA MARJONA</t>
        </is>
      </c>
      <c r="I36" t="inlineStr">
        <is>
          <t>Zarifova Marjona Samijon qizi</t>
        </is>
      </c>
      <c r="J36" t="inlineStr">
        <is>
          <t>26/27 Sh/A 93</t>
        </is>
      </c>
    </row>
    <row r="37">
      <c r="A37" s="29" t="n">
        <v>46237</v>
      </c>
      <c r="B37" s="32" t="inlineStr">
        <is>
          <t>yangi shot</t>
        </is>
      </c>
      <c r="C37" t="inlineStr">
        <is>
          <t>Транзитный счет для разовых платежей               200542744</t>
        </is>
      </c>
      <c r="D37" t="inlineStr">
        <is>
          <t>9431840</t>
        </is>
      </c>
      <c r="E37" t="inlineStr">
        <is>
          <t>06</t>
        </is>
      </c>
      <c r="F37" t="inlineStr">
        <is>
          <t>01048</t>
        </is>
      </c>
      <c r="G37" t="n">
        <v>1700000</v>
      </c>
      <c r="H37" t="inlineStr">
        <is>
          <t>0066722.07.2025 YILDAGI № 26/27 SH/A 86 SONLI SHARNOMAGA ASOSAN 1-KURS AZAMOV SHOXIJAXON SHERALI OGLINING KANTRAK TULOVI от XOLMIRZAYEVA SABIHAT</t>
        </is>
      </c>
      <c r="I37" t="inlineStr">
        <is>
          <t>Azamov Shoxijaxon Sherali o'g'li</t>
        </is>
      </c>
      <c r="J37" t="inlineStr">
        <is>
          <t>26/27 Sh/A 86</t>
        </is>
      </c>
    </row>
    <row r="38">
      <c r="A38" s="29" t="n">
        <v>46237</v>
      </c>
      <c r="B38" s="28" t="inlineStr">
        <is>
          <t>yangi shot</t>
        </is>
      </c>
      <c r="C38" s="30" t="inlineStr">
        <is>
          <t>Транзитный счет для разовых платежей               200542744</t>
        </is>
      </c>
      <c r="D38" s="30" t="inlineStr">
        <is>
          <t>9432834</t>
        </is>
      </c>
      <c r="E38" s="30" t="inlineStr">
        <is>
          <t>06</t>
        </is>
      </c>
      <c r="F38" s="30" t="inlineStr">
        <is>
          <t>01048</t>
        </is>
      </c>
      <c r="G38" s="30" t="n">
        <v>1500000</v>
      </c>
      <c r="H38" s="30" t="inlineStr">
        <is>
          <t>0065530.07.2026 йилдаги №26/27 SH/A 116-сонли шартномага асосан Хайруллаева Умиданинг контракт тулови учун от Ражабов Сафар</t>
        </is>
      </c>
      <c r="I38" t="inlineStr">
        <is>
          <t>Xayrullaeva Umida</t>
        </is>
      </c>
      <c r="J38" t="inlineStr">
        <is>
          <t>26/27 Sh/A 116</t>
        </is>
      </c>
    </row>
    <row r="39">
      <c r="A39" s="29" t="n">
        <v>46237</v>
      </c>
      <c r="B39" s="32" t="inlineStr">
        <is>
          <t>yangi shot</t>
        </is>
      </c>
      <c r="C39" t="inlineStr">
        <is>
          <t>Жисмоний шахслардан накд пул оркали кабул килинган 200836354</t>
        </is>
      </c>
      <c r="D39" t="inlineStr">
        <is>
          <t>39515961</t>
        </is>
      </c>
      <c r="E39" t="inlineStr">
        <is>
          <t>21</t>
        </is>
      </c>
      <c r="F39" t="inlineStr">
        <is>
          <t>00450</t>
        </is>
      </c>
      <c r="G39" t="n">
        <v>1700000</v>
      </c>
      <c r="H39" t="inlineStr">
        <is>
          <t>00111OCHILDIYEVA DINORA OTABEK QIZI 22.07.2026Y. 26/27 SH/A-87 SHARTNOMAGA ASOSAN KONTRAKT TULOVI</t>
        </is>
      </c>
      <c r="I39" t="inlineStr">
        <is>
          <t>Ochildiyeva Dinora Otabek qizi</t>
        </is>
      </c>
      <c r="J39" t="inlineStr">
        <is>
          <t>26/27 Sh/A 87</t>
        </is>
      </c>
    </row>
    <row r="40">
      <c r="A40" s="29" t="n">
        <v>46246</v>
      </c>
      <c r="B40" s="28" t="inlineStr">
        <is>
          <t>yangi shot</t>
        </is>
      </c>
      <c r="C40" s="30" t="inlineStr">
        <is>
          <t>Транзитный счет для разовых платежей               200542744</t>
        </is>
      </c>
      <c r="D40" s="30" t="inlineStr">
        <is>
          <t>9740564</t>
        </is>
      </c>
      <c r="E40" s="30" t="inlineStr">
        <is>
          <t>06</t>
        </is>
      </c>
      <c r="F40" s="30" t="inlineStr">
        <is>
          <t>01048</t>
        </is>
      </c>
      <c r="G40" s="30" t="n">
        <v>1700000</v>
      </c>
      <c r="H40" s="30" t="inlineStr">
        <is>
          <t>0066720.07.2026 йил №72 шартномага асосан Муродова Рухшона(АЕ3287114)нинг контракт тулови от MURODOVA RUHSHONA</t>
        </is>
      </c>
      <c r="I40" t="inlineStr">
        <is>
          <t>Murodova Ruxshona</t>
        </is>
      </c>
      <c r="J40" t="inlineStr">
        <is>
          <t>№ 72</t>
        </is>
      </c>
    </row>
    <row r="41">
      <c r="A41" s="29" t="n">
        <v>46246</v>
      </c>
      <c r="B41" s="32" t="inlineStr">
        <is>
          <t>yangi shot</t>
        </is>
      </c>
      <c r="C41" t="inlineStr">
        <is>
          <t>Транзитный счет для разовых платежей               200542744</t>
        </is>
      </c>
      <c r="D41" t="inlineStr">
        <is>
          <t>9740654</t>
        </is>
      </c>
      <c r="E41" t="inlineStr">
        <is>
          <t>06</t>
        </is>
      </c>
      <c r="F41" t="inlineStr">
        <is>
          <t>01048</t>
        </is>
      </c>
      <c r="G41" t="n">
        <v>1700000</v>
      </c>
      <c r="H41" t="inlineStr">
        <is>
          <t>0066727.07.2026йил №106 шартномага асосан Нумонова Жасмина(АЕ1748671)нинг контракт тулови от ТУРАЕВ БАХОДИР</t>
        </is>
      </c>
      <c r="I41" t="inlineStr">
        <is>
          <t>Numonova Jasmina</t>
        </is>
      </c>
      <c r="J41" t="inlineStr">
        <is>
          <t>№ 106</t>
        </is>
      </c>
    </row>
    <row r="42">
      <c r="A42" s="29" t="n">
        <v>46247</v>
      </c>
      <c r="B42" s="32" t="inlineStr">
        <is>
          <t>yangi shot</t>
        </is>
      </c>
      <c r="C42" t="inlineStr">
        <is>
          <t>Жисмоний шахслардан бир марталик туловлар бош?а бан200547792</t>
        </is>
      </c>
      <c r="D42" t="inlineStr">
        <is>
          <t>0069925323</t>
        </is>
      </c>
      <c r="E42" t="inlineStr">
        <is>
          <t>06</t>
        </is>
      </c>
      <c r="F42" t="inlineStr">
        <is>
          <t>00433</t>
        </is>
      </c>
      <c r="G42" t="n">
        <v>1700000</v>
      </c>
      <c r="H42" t="inlineStr">
        <is>
          <t>00111Суюнова Мафтуна Акбар кизи 1-курс талабаси кантракт тулови</t>
        </is>
      </c>
      <c r="I42" t="inlineStr">
        <is>
          <t>Suyunova Maftuna Akbar qizi</t>
        </is>
      </c>
      <c r="J42" t="inlineStr"/>
    </row>
    <row r="43">
      <c r="A43" s="29" t="n">
        <v>46248</v>
      </c>
      <c r="B43" s="28" t="inlineStr">
        <is>
          <t>yangi shot</t>
        </is>
      </c>
      <c r="C43" s="30" t="inlineStr">
        <is>
          <t>Транзитный счет для разовых платежей               200542744</t>
        </is>
      </c>
      <c r="D43" s="30" t="inlineStr">
        <is>
          <t>9791292</t>
        </is>
      </c>
      <c r="E43" s="30" t="inlineStr">
        <is>
          <t>06</t>
        </is>
      </c>
      <c r="F43" s="30" t="inlineStr">
        <is>
          <t>01048</t>
        </is>
      </c>
      <c r="G43" s="30" t="n">
        <v>1000000</v>
      </c>
      <c r="H43" s="30" t="inlineStr">
        <is>
          <t>00655Худойназарова Озода Илхом кизи шартнома №26/27 sh/А184 14,08,2026 га асосан укиш учун тулов от Худойназарова Озода</t>
        </is>
      </c>
      <c r="I43" t="inlineStr">
        <is>
          <t>Xudoynazarova Ozoda Ilxom qizi</t>
        </is>
      </c>
      <c r="J43" t="inlineStr">
        <is>
          <t>26/27 Sh/A 184</t>
        </is>
      </c>
    </row>
    <row r="44">
      <c r="A44" s="29" t="n">
        <v>46248</v>
      </c>
      <c r="B44" s="32" t="inlineStr">
        <is>
          <t>yangi shot</t>
        </is>
      </c>
      <c r="C44" t="inlineStr">
        <is>
          <t>Т/счет для спис с ПК физлиц по другим платежам (70 200542744</t>
        </is>
      </c>
      <c r="D44" t="inlineStr">
        <is>
          <t>9791076</t>
        </is>
      </c>
      <c r="E44" t="inlineStr">
        <is>
          <t>06</t>
        </is>
      </c>
      <c r="F44" t="inlineStr">
        <is>
          <t>01048</t>
        </is>
      </c>
      <c r="G44" t="n">
        <v>1000000</v>
      </c>
      <c r="H44" t="inlineStr">
        <is>
          <t>00655Худойназарова Озода Илхом кизи шартнома №26/27 sh/А184 14,08,2026 га асосан укиш учун тулов. от MUMINOV XUDAYNAZAR</t>
        </is>
      </c>
      <c r="I44" t="inlineStr">
        <is>
          <t>Xudoynazarova Ozoda Ilxom qizi</t>
        </is>
      </c>
      <c r="J44" t="inlineStr">
        <is>
          <t>26/27 Sh/A 184</t>
        </is>
      </c>
    </row>
    <row r="45">
      <c r="A45" s="29" t="n">
        <v>46248</v>
      </c>
      <c r="B45" s="32" t="inlineStr">
        <is>
          <t>yangi shot</t>
        </is>
      </c>
      <c r="C45" t="inlineStr">
        <is>
          <t>Транзитный счет для разовых платежей               200542744</t>
        </is>
      </c>
      <c r="D45" t="inlineStr">
        <is>
          <t>9786388</t>
        </is>
      </c>
      <c r="E45" t="inlineStr">
        <is>
          <t>06</t>
        </is>
      </c>
      <c r="F45" t="inlineStr">
        <is>
          <t>01048</t>
        </is>
      </c>
      <c r="G45" t="n">
        <v>1700000</v>
      </c>
      <c r="H45" t="inlineStr">
        <is>
          <t>0066705,07,2026 йил шартнолма № 97 га асосан Гайратова Жасмина Шерали кизини укиш контракт тулови от Гайратова Жасмина</t>
        </is>
      </c>
      <c r="I45" s="12" t="inlineStr">
        <is>
          <t>Gayratova Jasmina Sherali qizi</t>
        </is>
      </c>
      <c r="J45" t="inlineStr">
        <is>
          <t>№ 97</t>
        </is>
      </c>
      <c r="K45" s="31" t="n"/>
      <c r="L45" s="31" t="n"/>
      <c r="M45" s="31" t="n"/>
      <c r="N45" s="31" t="n"/>
      <c r="O45" s="31" t="n"/>
      <c r="P45" s="31" t="n"/>
    </row>
    <row r="46">
      <c r="A46" s="29" t="n">
        <v>46248</v>
      </c>
      <c r="B46" s="28" t="inlineStr">
        <is>
          <t>yangi shot</t>
        </is>
      </c>
      <c r="C46" t="inlineStr">
        <is>
          <t>Транзитный счет для разовых платежей               200542744</t>
        </is>
      </c>
      <c r="D46" t="inlineStr">
        <is>
          <t>9785624</t>
        </is>
      </c>
      <c r="E46" t="inlineStr">
        <is>
          <t>06</t>
        </is>
      </c>
      <c r="F46" t="inlineStr">
        <is>
          <t>01048</t>
        </is>
      </c>
      <c r="G46" t="n">
        <v>1700000</v>
      </c>
      <c r="H46" t="inlineStr">
        <is>
          <t>0066724.07.2026 YILDAGI № 26/27 SH/A 94 SONLI SHARNOMAGA ASOSAN 1-KURS (AD9664280) ISLOMOVA NILUFAR ABDUXAFIZ QIZINING KANTRAK TULOVI от ISLOMOVA NILUFAR ABDUXAFIZ QIZI</t>
        </is>
      </c>
      <c r="I46" t="inlineStr">
        <is>
          <t>Islomova Nilufar Abduxafiz qizi</t>
        </is>
      </c>
      <c r="J46" t="inlineStr">
        <is>
          <t>26/27 Sh/A 94</t>
        </is>
      </c>
    </row>
    <row r="47">
      <c r="A47" s="29" t="n">
        <v>46248</v>
      </c>
      <c r="B47" s="28" t="inlineStr">
        <is>
          <t>yangi shot</t>
        </is>
      </c>
      <c r="C47" s="30" t="inlineStr">
        <is>
          <t>Транзитный счет для разовых платежей               200542744</t>
        </is>
      </c>
      <c r="D47" s="30" t="inlineStr">
        <is>
          <t>9789257</t>
        </is>
      </c>
      <c r="E47" s="30" t="inlineStr">
        <is>
          <t>06</t>
        </is>
      </c>
      <c r="F47" s="30" t="inlineStr">
        <is>
          <t>01048</t>
        </is>
      </c>
      <c r="G47" s="30" t="n">
        <v>1200000</v>
      </c>
      <c r="H47" s="30" t="inlineStr">
        <is>
          <t>0066704.08.2026й №26/27 Sh/A140 сонли шартномага асосан Абдиева сабинанинг контракт тулови от HAYITOVA GUZAL</t>
        </is>
      </c>
      <c r="I47" t="inlineStr">
        <is>
          <t>Abdieva Sabina</t>
        </is>
      </c>
      <c r="J47" t="inlineStr">
        <is>
          <t>26/27 Sh/A 140</t>
        </is>
      </c>
    </row>
    <row r="48">
      <c r="A48" s="29" t="n">
        <v>46251</v>
      </c>
      <c r="B48" s="32" t="inlineStr">
        <is>
          <t>yangi shot</t>
        </is>
      </c>
      <c r="C48" t="inlineStr">
        <is>
          <t>Чакана амалиётлар кассаси БХМ "Ок Сарой"           200542744</t>
        </is>
      </c>
      <c r="D48" t="inlineStr">
        <is>
          <t>9838372</t>
        </is>
      </c>
      <c r="E48" t="inlineStr">
        <is>
          <t>93</t>
        </is>
      </c>
      <c r="F48" t="inlineStr">
        <is>
          <t>01048</t>
        </is>
      </c>
      <c r="G48" t="n">
        <v>1200000</v>
      </c>
      <c r="H48" t="inlineStr">
        <is>
          <t>001410,08,2026 йил шартнома № 163 га асосан Муминова Севинч Учкун кизини укиш контракт тулови от Муминова Севинч</t>
        </is>
      </c>
      <c r="I48" t="inlineStr">
        <is>
          <t>Muminova Sevinch Uchkun qizi</t>
        </is>
      </c>
      <c r="J48" t="inlineStr">
        <is>
          <t>№ 163</t>
        </is>
      </c>
    </row>
    <row r="49">
      <c r="A49" s="29" t="n">
        <v>46251</v>
      </c>
      <c r="B49" s="32" t="inlineStr">
        <is>
          <t>yangi shot</t>
        </is>
      </c>
      <c r="C49" t="inlineStr">
        <is>
          <t>Транзитный счет для разовых платежей               200542744</t>
        </is>
      </c>
      <c r="D49" t="inlineStr">
        <is>
          <t>9837474</t>
        </is>
      </c>
      <c r="E49" t="inlineStr">
        <is>
          <t>06</t>
        </is>
      </c>
      <c r="F49" t="inlineStr">
        <is>
          <t>01048</t>
        </is>
      </c>
      <c r="G49" t="n">
        <v>1700000</v>
      </c>
      <c r="H49" t="inlineStr">
        <is>
          <t>0066724.07.2026 йилдаги №26/27 SH/A95-сонли шартномага асосан Жалилова Жасминанинг контракт тулови учун от Зохидова Садокат</t>
        </is>
      </c>
      <c r="I49" t="inlineStr">
        <is>
          <t>Jalilova Jasmina</t>
        </is>
      </c>
      <c r="J49" t="inlineStr">
        <is>
          <t>26/27 Sh/A 95</t>
        </is>
      </c>
    </row>
    <row r="50">
      <c r="A50" s="29" t="n">
        <v>46252</v>
      </c>
      <c r="B50" s="32" t="inlineStr">
        <is>
          <t>yangi shot</t>
        </is>
      </c>
      <c r="C50" t="inlineStr">
        <is>
          <t>Чакана амалиётлар кассаси БХМ "Ок Сарой"           200542744</t>
        </is>
      </c>
      <c r="D50" t="inlineStr">
        <is>
          <t>9870522</t>
        </is>
      </c>
      <c r="E50" t="inlineStr">
        <is>
          <t>93</t>
        </is>
      </c>
      <c r="F50" t="inlineStr">
        <is>
          <t>01048</t>
        </is>
      </c>
      <c r="G50" t="n">
        <v>1700000</v>
      </c>
      <c r="H50" t="inlineStr">
        <is>
          <t>001411,08,2026 йил шартнома № 172 га асосан Шукурова Зилола Фарход кизини укиш контракт тулови от Шукурова Зилола</t>
        </is>
      </c>
      <c r="I50" s="12" t="inlineStr">
        <is>
          <t>Shukurova Zilola Farxod qizi</t>
        </is>
      </c>
      <c r="J50" t="inlineStr">
        <is>
          <t>№ 172</t>
        </is>
      </c>
    </row>
    <row r="51">
      <c r="A51" s="29" t="n">
        <v>46252</v>
      </c>
      <c r="B51" s="32" t="inlineStr">
        <is>
          <t>yangi shot</t>
        </is>
      </c>
      <c r="C51" t="inlineStr">
        <is>
          <t>Чакана амалиётлар кассаси БХМ "Ок Сарой"           200542744</t>
        </is>
      </c>
      <c r="D51" t="inlineStr">
        <is>
          <t>9877142</t>
        </is>
      </c>
      <c r="E51" t="inlineStr">
        <is>
          <t>93</t>
        </is>
      </c>
      <c r="F51" t="inlineStr">
        <is>
          <t>01048</t>
        </is>
      </c>
      <c r="G51" t="n">
        <v>1700000</v>
      </c>
      <c r="H51" t="inlineStr">
        <is>
          <t>001414.08.2026 йил шартнома № 182 га асосан Арзикулова Амина Салохиддин кизини укиш контракт тулови от Арзикулова Амина</t>
        </is>
      </c>
      <c r="I51" t="inlineStr">
        <is>
          <t>Arzikulova Amina Saloxiddin qizi</t>
        </is>
      </c>
      <c r="J51" t="inlineStr">
        <is>
          <t>№ 182</t>
        </is>
      </c>
    </row>
    <row r="52">
      <c r="A52" s="29" t="n">
        <v>46253</v>
      </c>
      <c r="B52" s="32" t="inlineStr">
        <is>
          <t>yangi shot</t>
        </is>
      </c>
      <c r="C52" t="inlineStr">
        <is>
          <t>Транзитный счет для разовых платежей               200542744</t>
        </is>
      </c>
      <c r="D52" t="inlineStr">
        <is>
          <t>9907339</t>
        </is>
      </c>
      <c r="E52" t="inlineStr">
        <is>
          <t>06</t>
        </is>
      </c>
      <c r="F52" t="inlineStr">
        <is>
          <t>01048</t>
        </is>
      </c>
      <c r="G52" t="n">
        <v>1275000</v>
      </c>
      <c r="H52" t="inlineStr">
        <is>
          <t>0065523,07,2026 йилдаги №26/27 Sh/A 90 шартномага асосан PARDAQULOVA FARZONA (AE1396598)нинг контракт тулови от Ачилова Гулзода</t>
        </is>
      </c>
      <c r="I52" t="inlineStr">
        <is>
          <t>Pardaqulova Farzona</t>
        </is>
      </c>
      <c r="J52" t="inlineStr">
        <is>
          <t>26/27 Sh/A 90</t>
        </is>
      </c>
    </row>
    <row r="53">
      <c r="A53" s="29" t="n">
        <v>46253</v>
      </c>
      <c r="B53" s="32" t="inlineStr">
        <is>
          <t>yangi shot</t>
        </is>
      </c>
      <c r="C53" t="inlineStr">
        <is>
          <t>Транзитный счет для разовых платежей               200542744</t>
        </is>
      </c>
      <c r="D53" t="inlineStr">
        <is>
          <t>9911203</t>
        </is>
      </c>
      <c r="E53" t="inlineStr">
        <is>
          <t>06</t>
        </is>
      </c>
      <c r="F53" t="inlineStr">
        <is>
          <t>01048</t>
        </is>
      </c>
      <c r="G53" t="n">
        <v>1700000</v>
      </c>
      <c r="H53" t="inlineStr">
        <is>
          <t>0066707082026 йил Файзуллаева Сарвиноз Шербобо кизи укиш шартнома тулови утказилди (AD 1189588) от ШЕРАЛИЕВА ДИЛОРОМ</t>
        </is>
      </c>
      <c r="I53" t="inlineStr">
        <is>
          <t>026 Yil Fayzullaeva Sarvinoz Sherbobo qizi</t>
        </is>
      </c>
      <c r="J53" t="inlineStr"/>
    </row>
    <row r="54">
      <c r="A54" s="29" t="n">
        <v>46254</v>
      </c>
      <c r="B54" s="32" t="inlineStr">
        <is>
          <t>yangi shot</t>
        </is>
      </c>
      <c r="C54" t="inlineStr">
        <is>
          <t>Транзитный счет для разовых платежей               200542744</t>
        </is>
      </c>
      <c r="D54" t="inlineStr">
        <is>
          <t>9932421</t>
        </is>
      </c>
      <c r="E54" t="inlineStr">
        <is>
          <t>06</t>
        </is>
      </c>
      <c r="F54" t="inlineStr">
        <is>
          <t>01048</t>
        </is>
      </c>
      <c r="G54" t="n">
        <v>2125000</v>
      </c>
      <c r="H54" t="inlineStr">
        <is>
          <t>0065523.07.2026 йилдаги №26/27 SH/A 89 сонли шартномага асосан контракт тулови учун утказилди от Шогдорова Маржона</t>
        </is>
      </c>
      <c r="I54" s="12" t="inlineStr">
        <is>
          <t>Shogdorova Marjona</t>
        </is>
      </c>
      <c r="J54" t="inlineStr">
        <is>
          <t>26/27 Sh/A 89</t>
        </is>
      </c>
      <c r="K54" s="31" t="n"/>
      <c r="L54" s="31" t="n"/>
      <c r="M54" s="31" t="n"/>
      <c r="N54" s="31" t="n"/>
      <c r="O54" s="31" t="n"/>
      <c r="P54" s="31" t="n"/>
      <c r="Q54" s="31" t="n"/>
      <c r="R54" s="31" t="n"/>
    </row>
    <row r="55">
      <c r="A55" s="29" t="n">
        <v>46254</v>
      </c>
      <c r="B55" s="32" t="inlineStr">
        <is>
          <t>yangi shot</t>
        </is>
      </c>
      <c r="C55" t="inlineStr">
        <is>
          <t>Т/счет для спис с ПК физлиц по другим платежам (70 200542744</t>
        </is>
      </c>
      <c r="D55" t="inlineStr">
        <is>
          <t>9939587</t>
        </is>
      </c>
      <c r="E55" t="inlineStr">
        <is>
          <t>06</t>
        </is>
      </c>
      <c r="F55" t="inlineStr">
        <is>
          <t>01048</t>
        </is>
      </c>
      <c r="G55" t="n">
        <v>1700000</v>
      </c>
      <c r="H55" t="inlineStr">
        <is>
          <t>0065508.08.2026й Шартнома№26/27 SH/A 158 га асосан RAJABOVA UMIDA RAJABALI QIZIнинг 1-курс 50910203-Хамширалик иши учун контракт тулови утказилди от RAJABOVA UMIDA</t>
        </is>
      </c>
      <c r="I55" t="inlineStr">
        <is>
          <t>Rajabova Umida Rajabali qizi</t>
        </is>
      </c>
      <c r="J55" t="inlineStr">
        <is>
          <t>26/27 Sh/A 158</t>
        </is>
      </c>
    </row>
    <row r="56">
      <c r="A56" s="29" t="n">
        <v>46254</v>
      </c>
      <c r="B56" s="32" t="inlineStr">
        <is>
          <t>yangi shot</t>
        </is>
      </c>
      <c r="C56" t="inlineStr">
        <is>
          <t>Транзитный счет для разовых платежей               200542744</t>
        </is>
      </c>
      <c r="D56" t="inlineStr">
        <is>
          <t>9929503</t>
        </is>
      </c>
      <c r="E56" t="inlineStr">
        <is>
          <t>06</t>
        </is>
      </c>
      <c r="F56" t="inlineStr">
        <is>
          <t>01048</t>
        </is>
      </c>
      <c r="G56" t="n">
        <v>2000000</v>
      </c>
      <c r="H56" t="inlineStr">
        <is>
          <t>0066718.08.2026 йилдаги №26/27 SH/A 199-сонли шартномага асосан Маннонова Шахризода Носир кизининг контракт тулови учун от Рузиева Машхура</t>
        </is>
      </c>
      <c r="I56" t="inlineStr">
        <is>
          <t>Mannonova Shaxrizoda Nosir qizi</t>
        </is>
      </c>
      <c r="J56" t="inlineStr">
        <is>
          <t>26/27 Sh/A 199</t>
        </is>
      </c>
    </row>
    <row r="57">
      <c r="A57" s="29" t="n">
        <v>46255</v>
      </c>
      <c r="B57" s="32" t="inlineStr">
        <is>
          <t>yangi shot</t>
        </is>
      </c>
      <c r="C57" t="inlineStr">
        <is>
          <t>Транзитный счет для разовых платежей               200542744</t>
        </is>
      </c>
      <c r="D57" t="inlineStr">
        <is>
          <t>9965529</t>
        </is>
      </c>
      <c r="E57" t="inlineStr">
        <is>
          <t>06</t>
        </is>
      </c>
      <c r="F57" t="inlineStr">
        <is>
          <t>01048</t>
        </is>
      </c>
      <c r="G57" t="n">
        <v>1000000</v>
      </c>
      <c r="H57" t="inlineStr">
        <is>
          <t>0066711.08.2026й №26/27 Sh/A174 сонли шартномага асосан ESHIMOVA ZILOLA нинг контракт тулови от ESHIMOVA ZILOLA</t>
        </is>
      </c>
      <c r="I57" t="inlineStr">
        <is>
          <t>Eshimova Zilola</t>
        </is>
      </c>
      <c r="J57" t="inlineStr">
        <is>
          <t>26/27 Sh/A 174</t>
        </is>
      </c>
    </row>
    <row r="58">
      <c r="A58" s="29" t="n">
        <v>46255</v>
      </c>
      <c r="B58" s="32" t="inlineStr">
        <is>
          <t>yangi shot</t>
        </is>
      </c>
      <c r="C58" t="inlineStr">
        <is>
          <t>Транзитный счет для разовых платежей               200542744</t>
        </is>
      </c>
      <c r="D58" t="inlineStr">
        <is>
          <t>9964143</t>
        </is>
      </c>
      <c r="E58" t="inlineStr">
        <is>
          <t>06</t>
        </is>
      </c>
      <c r="F58" t="inlineStr">
        <is>
          <t>01048</t>
        </is>
      </c>
      <c r="G58" t="n">
        <v>1300000</v>
      </c>
      <c r="H58" t="inlineStr">
        <is>
          <t>006674082026 йил №138 шартномага асосан XOLMURODOVA SABINA AZAM QIZI укиш тулови утказилди от ХОЛМУРОДОВА САБИНА</t>
        </is>
      </c>
      <c r="I58" t="inlineStr">
        <is>
          <t>26 Yil Xolmurodova Sabina Azam qizi</t>
        </is>
      </c>
      <c r="J58" t="inlineStr">
        <is>
          <t>№ 138</t>
        </is>
      </c>
    </row>
    <row r="59">
      <c r="A59" s="29" t="n">
        <v>46255</v>
      </c>
      <c r="B59" s="32" t="inlineStr">
        <is>
          <t>yangi shot</t>
        </is>
      </c>
      <c r="C59" t="inlineStr">
        <is>
          <t>Транзитный счет для разовых платежей               200542744</t>
        </is>
      </c>
      <c r="D59" t="inlineStr">
        <is>
          <t>9977609</t>
        </is>
      </c>
      <c r="E59" t="inlineStr">
        <is>
          <t>06</t>
        </is>
      </c>
      <c r="F59" t="inlineStr">
        <is>
          <t>01048</t>
        </is>
      </c>
      <c r="G59" t="n">
        <v>1000000</v>
      </c>
      <c r="H59" t="inlineStr">
        <is>
          <t>0066717.08.2026 йид №176 шартномага асосан Мухторова Хадича Зухриддин Кизи(АЕ2428256)нинг контракт тулови от МУХТОРОВА ХАДИЧА</t>
        </is>
      </c>
      <c r="I59" t="inlineStr">
        <is>
          <t>Muxtorova Xadicha Zuxriddin qizi</t>
        </is>
      </c>
      <c r="J59" t="inlineStr">
        <is>
          <t>№ 176</t>
        </is>
      </c>
    </row>
    <row r="60">
      <c r="A60" s="29" t="n">
        <v>46258</v>
      </c>
      <c r="B60" s="28" t="inlineStr">
        <is>
          <t>yangi shot</t>
        </is>
      </c>
      <c r="C60" s="30" t="inlineStr">
        <is>
          <t>Транзитный счет для разовых платежей               200542744</t>
        </is>
      </c>
      <c r="D60" s="30" t="inlineStr">
        <is>
          <t>10025332</t>
        </is>
      </c>
      <c r="E60" s="30" t="inlineStr">
        <is>
          <t>06</t>
        </is>
      </c>
      <c r="F60" s="30" t="inlineStr">
        <is>
          <t>01048</t>
        </is>
      </c>
      <c r="G60" s="30" t="n">
        <v>2000000</v>
      </c>
      <c r="H60" s="30" t="inlineStr">
        <is>
          <t>0066724.08.2026й №26/27 Sh/A224 сонли шартномага асосан Аширова Гулсанамнинг контракт тулови утказилди от ESHBOYEVA DILOROM</t>
        </is>
      </c>
      <c r="I60" t="inlineStr">
        <is>
          <t>Ashirova Gulsanam</t>
        </is>
      </c>
      <c r="J60" t="inlineStr">
        <is>
          <t>26/27 Sh/A 224</t>
        </is>
      </c>
    </row>
    <row r="61">
      <c r="A61" s="29" t="n">
        <v>46258</v>
      </c>
      <c r="B61" s="32" t="inlineStr">
        <is>
          <t>yangi shot</t>
        </is>
      </c>
      <c r="C61" t="inlineStr">
        <is>
          <t>Транзитный счет для разовых платежей               200542744</t>
        </is>
      </c>
      <c r="D61" t="inlineStr">
        <is>
          <t>10012823</t>
        </is>
      </c>
      <c r="E61" t="inlineStr">
        <is>
          <t>06</t>
        </is>
      </c>
      <c r="F61" t="inlineStr">
        <is>
          <t>01048</t>
        </is>
      </c>
      <c r="G61" t="n">
        <v>1780000</v>
      </c>
      <c r="H61" t="inlineStr">
        <is>
          <t>0065510,08,2026й №26/27 Sh/A 167 шартномага асосан MURODOVA MUNISA MUXTOR QIZI(AE2895049)нинг контракт тулови от MURODOVA MUNISA</t>
        </is>
      </c>
      <c r="I61" t="inlineStr">
        <is>
          <t>Murodova Munisa Muxtor qizi</t>
        </is>
      </c>
      <c r="J61" t="inlineStr">
        <is>
          <t>26/27 Sh/A 167</t>
        </is>
      </c>
    </row>
    <row r="62">
      <c r="A62" s="29" t="n">
        <v>46258</v>
      </c>
      <c r="B62" s="32" t="inlineStr">
        <is>
          <t>yangi shot</t>
        </is>
      </c>
      <c r="C62" t="inlineStr">
        <is>
          <t>Транзитный счет для разовых платежей               200542744</t>
        </is>
      </c>
      <c r="D62" t="inlineStr">
        <is>
          <t>10012931</t>
        </is>
      </c>
      <c r="E62" t="inlineStr">
        <is>
          <t>06</t>
        </is>
      </c>
      <c r="F62" t="inlineStr">
        <is>
          <t>01048</t>
        </is>
      </c>
      <c r="G62" t="n">
        <v>1700000</v>
      </c>
      <c r="H62" t="inlineStr">
        <is>
          <t>0066717.08.2026 YILDAGI № 26/27 SH/A188 SONLI SHARNOMAGA ASOSAN 1-KURS (AE4384190) USMANOVA SABRINA BATIYOR QIZINING KANTRAK TULOVI от ATTAROVA NARGIZA GOLIBOVNA</t>
        </is>
      </c>
      <c r="I62" t="inlineStr">
        <is>
          <t>Usmanova Sabrina Batiyor qizi</t>
        </is>
      </c>
      <c r="J62" t="inlineStr">
        <is>
          <t>26/27 Sh/A 188</t>
        </is>
      </c>
    </row>
    <row r="63">
      <c r="A63" s="29" t="n">
        <v>46258</v>
      </c>
      <c r="B63" s="32" t="inlineStr">
        <is>
          <t>yangi shot</t>
        </is>
      </c>
      <c r="C63" t="inlineStr">
        <is>
          <t>Транзитный счет для разовых платежей               200542744</t>
        </is>
      </c>
      <c r="D63" t="inlineStr">
        <is>
          <t>10009073</t>
        </is>
      </c>
      <c r="E63" t="inlineStr">
        <is>
          <t>06</t>
        </is>
      </c>
      <c r="F63" t="inlineStr">
        <is>
          <t>01048</t>
        </is>
      </c>
      <c r="G63" t="n">
        <v>1700000</v>
      </c>
      <c r="H63" t="inlineStr">
        <is>
          <t>0066710.08.20256YILDAGI № 26/27 SH/A162 SONLI SHARNOMAGA ASOSAN 1-KURS (AD7767171) SHUKRIYEVA NARIYE REDVANOVNANING KANTRAK TULOVI от SHUKRIYEVA NARIYE REDVANOVNA</t>
        </is>
      </c>
      <c r="I63" t="inlineStr">
        <is>
          <t>Shukriyeva Nariye Redvanovna</t>
        </is>
      </c>
      <c r="J63" t="inlineStr">
        <is>
          <t>26/27 Sh/A 162</t>
        </is>
      </c>
    </row>
    <row r="64">
      <c r="A64" s="29" t="n">
        <v>46259</v>
      </c>
      <c r="B64" s="32" t="inlineStr">
        <is>
          <t>yangi shot</t>
        </is>
      </c>
      <c r="C64" t="inlineStr">
        <is>
          <t>Чакана амалиётлар кассаси БХМ "Ок Сарой"           200542744</t>
        </is>
      </c>
      <c r="D64" t="inlineStr">
        <is>
          <t>10043436</t>
        </is>
      </c>
      <c r="E64" t="inlineStr">
        <is>
          <t>93</t>
        </is>
      </c>
      <c r="F64" t="inlineStr">
        <is>
          <t>01048</t>
        </is>
      </c>
      <c r="G64" t="n">
        <v>1700000</v>
      </c>
      <c r="H64" t="inlineStr">
        <is>
          <t>001410,08 2026 йил шартнома № 167 га асосан Хазратова Фарзона Тошкан кизини укиш контракт тулови от Хазратова Фарзона</t>
        </is>
      </c>
      <c r="I64" t="inlineStr">
        <is>
          <t>Xazratova Farzona Toshkan qizi</t>
        </is>
      </c>
      <c r="J64" t="inlineStr">
        <is>
          <t>№ 167</t>
        </is>
      </c>
    </row>
    <row r="65">
      <c r="A65" s="29" t="n">
        <v>46259</v>
      </c>
      <c r="B65" s="32" t="inlineStr">
        <is>
          <t>yangi shot</t>
        </is>
      </c>
      <c r="C65" t="inlineStr">
        <is>
          <t>RESPUBLIKA INKASSATSIYA XIZMATI MCHJ Shaxrisabz t. 201052396</t>
        </is>
      </c>
      <c r="D65" t="inlineStr">
        <is>
          <t>7</t>
        </is>
      </c>
      <c r="E65" t="inlineStr">
        <is>
          <t>21</t>
        </is>
      </c>
      <c r="F65" t="inlineStr">
        <is>
          <t>00019</t>
        </is>
      </c>
      <c r="G65" t="n">
        <v>1700000</v>
      </c>
      <c r="H65" t="inlineStr">
        <is>
          <t>00615~Шартнома №2026   26/27 Sh /A 202  Жабборова  Бахорой Шукрулло  кизининг  кантракт тулови AE 4255446 Топширувчи шахс: Жабборова  Бахорой</t>
        </is>
      </c>
      <c r="I65" t="inlineStr">
        <is>
          <t>Jabborova Baxoroy Shukrullo qizi</t>
        </is>
      </c>
      <c r="J65" t="inlineStr">
        <is>
          <t>26/27 Sh/A 202</t>
        </is>
      </c>
    </row>
    <row r="66">
      <c r="A66" s="29" t="n">
        <v>46259</v>
      </c>
      <c r="B66" s="32" t="inlineStr">
        <is>
          <t>yangi shot</t>
        </is>
      </c>
      <c r="C66" t="inlineStr">
        <is>
          <t>Т/счет для спис с ПК физлиц по другим платежам (70 200542744</t>
        </is>
      </c>
      <c r="D66" t="inlineStr">
        <is>
          <t>10049160</t>
        </is>
      </c>
      <c r="E66" t="inlineStr">
        <is>
          <t>06</t>
        </is>
      </c>
      <c r="F66" t="inlineStr">
        <is>
          <t>01048</t>
        </is>
      </c>
      <c r="G66" t="n">
        <v>2000000</v>
      </c>
      <c r="H66" t="inlineStr">
        <is>
          <t>0065511,08,2026йилдаги №26/27 Sh/A173 шартномага асосан JAVLIYEVA NARGIZA ORTQ QIZI(AE5222372)нинг контракт тулови от AKBAROVA MUNISA</t>
        </is>
      </c>
      <c r="I66" t="inlineStr">
        <is>
          <t>Javliyeva Nargiza Ortq qizi</t>
        </is>
      </c>
      <c r="J66" t="inlineStr">
        <is>
          <t>26/27 Sh/A 173</t>
        </is>
      </c>
    </row>
    <row r="67">
      <c r="A67" s="29" t="n">
        <v>46259</v>
      </c>
      <c r="B67" s="32" t="inlineStr">
        <is>
          <t>yangi shot</t>
        </is>
      </c>
      <c r="C67" t="inlineStr">
        <is>
          <t>Транзитный счет для разовых платежей               200542744</t>
        </is>
      </c>
      <c r="D67" t="inlineStr">
        <is>
          <t>10055684</t>
        </is>
      </c>
      <c r="E67" t="inlineStr">
        <is>
          <t>06</t>
        </is>
      </c>
      <c r="F67" t="inlineStr">
        <is>
          <t>01048</t>
        </is>
      </c>
      <c r="G67" t="n">
        <v>1700000</v>
      </c>
      <c r="H67" t="inlineStr">
        <is>
          <t>0066714.08.2026 26/27 183 SHARTNOMAGA ASOSAN XOLMIRZAYEVA ZEBUNISO XUSHVAQT QIZINING EQISH PULI UTKAZILDI «Ипак Йули»(10111) QARSHI TIBBIYOT TEXNIKUMI «Ипак Йули» QARSHI TIBBIYOT TEXNIKUMI NTM от XOLMIRZAYEVA ZEBUNISO XUSHVAQT QIZI</t>
        </is>
      </c>
      <c r="I67" t="inlineStr">
        <is>
          <t>Xolmirzayeva Zebuniso Xushvaqt qizi</t>
        </is>
      </c>
      <c r="J67" t="inlineStr">
        <is>
          <t>26/27 Sh/A 183</t>
        </is>
      </c>
    </row>
    <row r="68">
      <c r="A68" s="29" t="n">
        <v>46261</v>
      </c>
      <c r="B68" s="32" t="inlineStr">
        <is>
          <t>yangi shot</t>
        </is>
      </c>
      <c r="C68" t="inlineStr">
        <is>
          <t>Яккабог ЭЦ т/счет по средствам,перечисляемым с ПК  200542744</t>
        </is>
      </c>
      <c r="D68" t="inlineStr">
        <is>
          <t>10113490</t>
        </is>
      </c>
      <c r="E68" t="inlineStr">
        <is>
          <t>06</t>
        </is>
      </c>
      <c r="F68" t="inlineStr">
        <is>
          <t>01048</t>
        </is>
      </c>
      <c r="G68" t="n">
        <v>3400000</v>
      </c>
      <c r="H68" t="inlineStr">
        <is>
          <t>0066721.08.2026 YILDAGI №26/27 Sh/A 215 sonli shartnomaga asosan Jurayeva Madina Odil qizining kontrakt to'lovi o'tkazildi (AD9394305) Банка «Ипак Йули»(10111) QARSHI TIBBIYOT TEXNIKUMI NTM от NAZAROVA LOBAR</t>
        </is>
      </c>
      <c r="I68" t="inlineStr">
        <is>
          <t>Jurayeva Madina Odil qizi</t>
        </is>
      </c>
      <c r="J68" t="inlineStr">
        <is>
          <t>26/27 Sh/A 215</t>
        </is>
      </c>
    </row>
    <row r="69">
      <c r="A69" s="29" t="n">
        <v>46261</v>
      </c>
      <c r="B69" s="32" t="inlineStr">
        <is>
          <t>yangi shot</t>
        </is>
      </c>
      <c r="C69" t="inlineStr">
        <is>
          <t>Транзитный счет для разовых платежей               200542744</t>
        </is>
      </c>
      <c r="D69" t="inlineStr">
        <is>
          <t>10096179</t>
        </is>
      </c>
      <c r="E69" t="inlineStr">
        <is>
          <t>06</t>
        </is>
      </c>
      <c r="F69" t="inlineStr">
        <is>
          <t>01048</t>
        </is>
      </c>
      <c r="G69" t="n">
        <v>1700000</v>
      </c>
      <c r="H69" t="inlineStr">
        <is>
          <t>0065526.08.2026 йилдаги №26/27 SH/A-232 сонли шартномага асосан контракт тулови учун утказилди от Хужамуратова Дурдона Бахром кизи</t>
        </is>
      </c>
      <c r="I69" t="inlineStr">
        <is>
          <t>Xujamuratova Durdona Baxrom qizi</t>
        </is>
      </c>
      <c r="J69" t="inlineStr">
        <is>
          <t>26/27 Sh/A 232</t>
        </is>
      </c>
    </row>
    <row r="70">
      <c r="A70" s="29" t="n">
        <v>46261</v>
      </c>
      <c r="B70" s="32" t="inlineStr">
        <is>
          <t>yangi shot</t>
        </is>
      </c>
      <c r="C70" t="inlineStr">
        <is>
          <t>Транзитный счет для разовых платежей               200542744</t>
        </is>
      </c>
      <c r="D70" t="inlineStr">
        <is>
          <t>10103220</t>
        </is>
      </c>
      <c r="E70" t="inlineStr">
        <is>
          <t>06</t>
        </is>
      </c>
      <c r="F70" t="inlineStr">
        <is>
          <t>01048</t>
        </is>
      </c>
      <c r="G70" t="n">
        <v>1200000</v>
      </c>
      <c r="H70" t="inlineStr">
        <is>
          <t>0066727.08.2026 йилдаги №26/27 SH/A 234-сонли шартномага асосан Хуррамова Лобарнинг контракт тулови учун от Ходжаева Зулфия</t>
        </is>
      </c>
      <c r="I70" t="inlineStr">
        <is>
          <t>Xurramova Lobar</t>
        </is>
      </c>
      <c r="J70" t="inlineStr">
        <is>
          <t>26/27 Sh/A 234</t>
        </is>
      </c>
    </row>
    <row r="71">
      <c r="A71" s="29" t="n">
        <v>46262</v>
      </c>
      <c r="B71" s="32" t="inlineStr">
        <is>
          <t>yangi shot</t>
        </is>
      </c>
      <c r="C71" t="inlineStr">
        <is>
          <t>Транзитный счет для разовых платежей               200542744</t>
        </is>
      </c>
      <c r="D71" t="inlineStr">
        <is>
          <t>10138907</t>
        </is>
      </c>
      <c r="E71" t="inlineStr">
        <is>
          <t>06</t>
        </is>
      </c>
      <c r="F71" t="inlineStr">
        <is>
          <t>01048</t>
        </is>
      </c>
      <c r="G71" t="n">
        <v>1700000</v>
      </c>
      <c r="H71" t="inlineStr">
        <is>
          <t>0066724.07.2026 йилдаги №26/27 SH/A-96-сонли шартномага асосан Хуррамова Шахризоданинг контракт тулови учун от Хуррамова Шахризода</t>
        </is>
      </c>
      <c r="I71" t="inlineStr">
        <is>
          <t>Xurramova Shaxrizoda</t>
        </is>
      </c>
      <c r="J71" t="inlineStr">
        <is>
          <t>26/27 Sh/A 96</t>
        </is>
      </c>
    </row>
    <row r="72">
      <c r="A72" s="29" t="n">
        <v>46262</v>
      </c>
      <c r="B72" s="32" t="inlineStr">
        <is>
          <t>yangi shot</t>
        </is>
      </c>
      <c r="C72" t="inlineStr">
        <is>
          <t>Транзитный счет для разовых платежей               200542744</t>
        </is>
      </c>
      <c r="D72" t="inlineStr">
        <is>
          <t>10141463</t>
        </is>
      </c>
      <c r="E72" t="inlineStr">
        <is>
          <t>06</t>
        </is>
      </c>
      <c r="F72" t="inlineStr">
        <is>
          <t>01048</t>
        </is>
      </c>
      <c r="G72" t="n">
        <v>1700000</v>
      </c>
      <c r="H72" t="inlineStr">
        <is>
          <t>0066726082026 йил №231 шартномага асосан Norboboyeva Farangiz Nuriddin qizi укиш шартномаси утказилди (ae 5898909) от РАЙИОМВА Ю</t>
        </is>
      </c>
      <c r="I72" s="12" t="inlineStr">
        <is>
          <t>026 Yil Norboboyeva Farangiz Nuriddin qizi</t>
        </is>
      </c>
      <c r="J72" t="inlineStr">
        <is>
          <t>№ 231</t>
        </is>
      </c>
      <c r="K72" s="31" t="n"/>
      <c r="L72" s="31" t="n"/>
      <c r="M72" s="31" t="n"/>
      <c r="N72" s="31" t="n"/>
    </row>
    <row r="73">
      <c r="A73" s="29" t="n">
        <v>46267</v>
      </c>
      <c r="B73" s="32" t="inlineStr">
        <is>
          <t>yangi shot</t>
        </is>
      </c>
      <c r="C73" t="inlineStr">
        <is>
          <t>Чакана амалиётлар кассаси БХМ "Ок Сарой"           200542744</t>
        </is>
      </c>
      <c r="D73" t="inlineStr">
        <is>
          <t>10224419</t>
        </is>
      </c>
      <c r="E73" t="inlineStr">
        <is>
          <t>93</t>
        </is>
      </c>
      <c r="F73" t="inlineStr">
        <is>
          <t>01048</t>
        </is>
      </c>
      <c r="G73" t="n">
        <v>1700000</v>
      </c>
      <c r="H73" t="inlineStr">
        <is>
          <t>001424.08.2026 йил шартнома № 211 га асосан Жалолов Жавлонбек Жалоловични укиш контракт тулови от Жалолов Жавлонбек</t>
        </is>
      </c>
      <c r="I73" t="inlineStr">
        <is>
          <t>Jalolov Javlonbek Jalolovich</t>
        </is>
      </c>
      <c r="J73" t="inlineStr">
        <is>
          <t>№ 211</t>
        </is>
      </c>
    </row>
    <row r="74">
      <c r="A74" s="29" t="n">
        <v>46267</v>
      </c>
      <c r="B74" s="32" t="inlineStr">
        <is>
          <t>yangi shot</t>
        </is>
      </c>
      <c r="C74" t="inlineStr">
        <is>
          <t>Жисмоний шахслардан накд пул оркали кабул килинган 200836354</t>
        </is>
      </c>
      <c r="D74" t="inlineStr">
        <is>
          <t>40165693</t>
        </is>
      </c>
      <c r="E74" t="inlineStr">
        <is>
          <t>21</t>
        </is>
      </c>
      <c r="F74" t="inlineStr">
        <is>
          <t>00450</t>
        </is>
      </c>
      <c r="G74" t="n">
        <v>2000000</v>
      </c>
      <c r="H74" t="inlineStr">
        <is>
          <t>00111NU'MONOVA SAIDABONU ULUGBEK QIZI 4.07.2026 YIL 26/27 SH/A 38-SONLI SHARTNOMAGA ASOSAN KONTRAKT TULOV</t>
        </is>
      </c>
      <c r="I74" t="inlineStr">
        <is>
          <t>Nu'monova Saidabonu Ulugbek qizi</t>
        </is>
      </c>
      <c r="J74" t="inlineStr">
        <is>
          <t>26/27 Sh/A 38</t>
        </is>
      </c>
    </row>
    <row r="75">
      <c r="A75" s="29" t="n">
        <v>46267</v>
      </c>
      <c r="B75" s="32" t="inlineStr">
        <is>
          <t>yangi shot</t>
        </is>
      </c>
      <c r="C75" t="inlineStr">
        <is>
          <t>Транзитный счет для разовых платежей               200542744</t>
        </is>
      </c>
      <c r="D75" t="inlineStr">
        <is>
          <t>10221310</t>
        </is>
      </c>
      <c r="E75" t="inlineStr">
        <is>
          <t>06</t>
        </is>
      </c>
      <c r="F75" t="inlineStr">
        <is>
          <t>01048</t>
        </is>
      </c>
      <c r="G75" t="n">
        <v>1000000</v>
      </c>
      <c r="H75" t="inlineStr">
        <is>
          <t>0066720.07.2026 йилдаги шартномага асосан контракт тулови учун утказилди от Арзикулова Лайло Баходир кизи</t>
        </is>
      </c>
      <c r="I75" t="inlineStr">
        <is>
          <t>Arzikulova Laylo Baxodir qizi</t>
        </is>
      </c>
      <c r="J75" t="inlineStr"/>
    </row>
    <row r="76">
      <c r="A76" s="29" t="n">
        <v>46267</v>
      </c>
      <c r="B76" s="32" t="inlineStr">
        <is>
          <t>yangi shot</t>
        </is>
      </c>
      <c r="C76" t="inlineStr">
        <is>
          <t>Транзитный счет для разовых платежей               200542744</t>
        </is>
      </c>
      <c r="D76" t="inlineStr">
        <is>
          <t>10221727</t>
        </is>
      </c>
      <c r="E76" t="inlineStr">
        <is>
          <t>06</t>
        </is>
      </c>
      <c r="F76" t="inlineStr">
        <is>
          <t>01048</t>
        </is>
      </c>
      <c r="G76" t="n">
        <v>700000</v>
      </c>
      <c r="H76" t="inlineStr">
        <is>
          <t>0065520.07.2026 йилдаги шартномага асосан контракт тулови учун утказилди от Арзикулова Лайло Баходир кизи</t>
        </is>
      </c>
      <c r="I76" t="inlineStr">
        <is>
          <t>Arzikulova Laylo Baxodir qizi</t>
        </is>
      </c>
      <c r="J76" t="inlineStr"/>
    </row>
    <row r="77">
      <c r="A77" s="29" t="n">
        <v>46268</v>
      </c>
      <c r="B77" s="32" t="inlineStr">
        <is>
          <t>yangi shot</t>
        </is>
      </c>
      <c r="C77" t="inlineStr">
        <is>
          <t>Транзитный счет для разовых платежей               200542744</t>
        </is>
      </c>
      <c r="D77" t="inlineStr">
        <is>
          <t>10240996</t>
        </is>
      </c>
      <c r="E77" t="inlineStr">
        <is>
          <t>06</t>
        </is>
      </c>
      <c r="F77" t="inlineStr">
        <is>
          <t>01048</t>
        </is>
      </c>
      <c r="G77" t="n">
        <v>1700000</v>
      </c>
      <c r="H77" t="inlineStr">
        <is>
          <t>0065517,08,2026йилдаги №26/27 Sh/A 105 шартномага асосан Пардаева Фарангиз Норали кизи(AE 5643897)нинг контракт тулови от Омонова Муниса</t>
        </is>
      </c>
      <c r="I77" t="inlineStr">
        <is>
          <t>Pardaeva Farangiz Norali qizi</t>
        </is>
      </c>
      <c r="J77" t="inlineStr">
        <is>
          <t>26/27 Sh/A 105</t>
        </is>
      </c>
    </row>
    <row r="78">
      <c r="A78" s="29" t="n">
        <v>46268</v>
      </c>
      <c r="B78" s="32" t="inlineStr">
        <is>
          <t>yangi shot</t>
        </is>
      </c>
      <c r="C78" t="inlineStr">
        <is>
          <t>Транзитный счет для разовых платежей               200542744</t>
        </is>
      </c>
      <c r="D78" t="inlineStr">
        <is>
          <t>10243131</t>
        </is>
      </c>
      <c r="E78" t="inlineStr">
        <is>
          <t>06</t>
        </is>
      </c>
      <c r="F78" t="inlineStr">
        <is>
          <t>01048</t>
        </is>
      </c>
      <c r="G78" t="n">
        <v>1700000</v>
      </c>
      <c r="H78" t="inlineStr">
        <is>
          <t>0066721.07.2026 YILDAGI № 26/27 SH/A81 SONLI SHARNOMAGA ASOSAN 1-KURS (AE1836076) SAMADOVA NIGORA ABDISAMIYEVNANING KANTRAK TULOVI от SAMADOVA NIGORA ABDISAMIYEVNA</t>
        </is>
      </c>
      <c r="I78" t="inlineStr">
        <is>
          <t>Samadova Nigora Abdisamiyevna</t>
        </is>
      </c>
      <c r="J78" t="inlineStr">
        <is>
          <t>26/27 Sh/A 81</t>
        </is>
      </c>
    </row>
    <row r="79">
      <c r="A79" s="29" t="n">
        <v>46268</v>
      </c>
      <c r="B79" s="32" t="inlineStr">
        <is>
          <t>yangi shot</t>
        </is>
      </c>
      <c r="C79" t="inlineStr">
        <is>
          <t>Транзитный счет для разовых платежей               200542744</t>
        </is>
      </c>
      <c r="D79" t="inlineStr">
        <is>
          <t>10249865</t>
        </is>
      </c>
      <c r="E79" t="inlineStr">
        <is>
          <t>06</t>
        </is>
      </c>
      <c r="F79" t="inlineStr">
        <is>
          <t>01048</t>
        </is>
      </c>
      <c r="G79" t="n">
        <v>1700000</v>
      </c>
      <c r="H79" t="inlineStr">
        <is>
          <t>0066703.09.2026йил №262 шартномага асосан Жалолова Райхона (АЕ3492384)нинг контракт тулови от RUZIYEVA GULZODA</t>
        </is>
      </c>
      <c r="I79" t="inlineStr">
        <is>
          <t>Jalolova Rayxona</t>
        </is>
      </c>
      <c r="J79" t="inlineStr">
        <is>
          <t>№ 262</t>
        </is>
      </c>
    </row>
    <row r="80">
      <c r="A80" s="29" t="n">
        <v>46268</v>
      </c>
      <c r="B80" s="32" t="inlineStr">
        <is>
          <t>yangi shot</t>
        </is>
      </c>
      <c r="C80" t="inlineStr">
        <is>
          <t>Транзитный счет для разовых платежей               200542744</t>
        </is>
      </c>
      <c r="D80" t="inlineStr">
        <is>
          <t>10241628</t>
        </is>
      </c>
      <c r="E80" t="inlineStr">
        <is>
          <t>06</t>
        </is>
      </c>
      <c r="F80" t="inlineStr">
        <is>
          <t>01048</t>
        </is>
      </c>
      <c r="G80" t="n">
        <v>2000000</v>
      </c>
      <c r="H80" t="inlineStr">
        <is>
          <t>0065503.09.2026й Шартнома№26/27 sh/a 258 га асосан талаба AXMEDOVA SAODAT нинг контракт тулови утказилди от AXMEDOVA SAODAT</t>
        </is>
      </c>
      <c r="I80" t="inlineStr">
        <is>
          <t>Axmedova Saodat</t>
        </is>
      </c>
      <c r="J80" t="inlineStr">
        <is>
          <t>26/27 Sh/A 258</t>
        </is>
      </c>
    </row>
    <row r="81">
      <c r="A81" s="29" t="n">
        <v>46269</v>
      </c>
      <c r="B81" s="32" t="inlineStr">
        <is>
          <t>yangi shot</t>
        </is>
      </c>
      <c r="C81" t="inlineStr">
        <is>
          <t>Т/счет для спис с ПК физлиц по другим платежам (70 200542744</t>
        </is>
      </c>
      <c r="D81" t="inlineStr">
        <is>
          <t>10289121</t>
        </is>
      </c>
      <c r="E81" t="inlineStr">
        <is>
          <t>06</t>
        </is>
      </c>
      <c r="F81" t="inlineStr">
        <is>
          <t>01048</t>
        </is>
      </c>
      <c r="G81" t="n">
        <v>7225000</v>
      </c>
      <c r="H81" t="inlineStr">
        <is>
          <t>0065523.07.2026й Шартнома№26/27 sh/a 90 га асосан талаба PARDAQULOVA FARZONA нинг 40910203-Хамширалик иши учун контракт тулови утказилди от TURGUNOVA JASMINA</t>
        </is>
      </c>
      <c r="I81" t="inlineStr">
        <is>
          <t>Pardaqulova Farzona</t>
        </is>
      </c>
      <c r="J81" t="inlineStr">
        <is>
          <t>26/27 Sh/A 90</t>
        </is>
      </c>
    </row>
    <row r="82">
      <c r="A82" s="29" t="n">
        <v>46269</v>
      </c>
      <c r="B82" s="32" t="inlineStr">
        <is>
          <t>yangi shot</t>
        </is>
      </c>
      <c r="C82" t="inlineStr">
        <is>
          <t>Транзитный счет для разовых платежей               200542744</t>
        </is>
      </c>
      <c r="D82" t="inlineStr">
        <is>
          <t>10289458</t>
        </is>
      </c>
      <c r="E82" t="inlineStr">
        <is>
          <t>06</t>
        </is>
      </c>
      <c r="F82" t="inlineStr">
        <is>
          <t>01048</t>
        </is>
      </c>
      <c r="G82" t="n">
        <v>4000000</v>
      </c>
      <c r="H82" t="inlineStr">
        <is>
          <t>0066702.09.2026 YILDAGI № 255 SONLI SHARTNOMAGA ASOSAN XOLBOYEV OG'ABEK YUNUS O'G'LINING KONTRAKT TO'LOVI O'TKAZILDI (AC2000370)Банка «Ипак Йули»(10111) QARSHI TIBBIYOT TEXNIKUMI NTM от XOLBOYEV OGABEK</t>
        </is>
      </c>
      <c r="I82" t="inlineStr">
        <is>
          <t>Xolboyev Og'abek Yunus o'g'li</t>
        </is>
      </c>
      <c r="J82" t="inlineStr">
        <is>
          <t>№ 255</t>
        </is>
      </c>
    </row>
    <row r="83">
      <c r="A83" s="29" t="n">
        <v>46269</v>
      </c>
      <c r="B83" s="32" t="inlineStr">
        <is>
          <t>yangi shot</t>
        </is>
      </c>
      <c r="C83" t="inlineStr">
        <is>
          <t>Транзитный счет для разовых платежей               200542744</t>
        </is>
      </c>
      <c r="D83" t="inlineStr">
        <is>
          <t>10290166</t>
        </is>
      </c>
      <c r="E83" t="inlineStr">
        <is>
          <t>06</t>
        </is>
      </c>
      <c r="F83" t="inlineStr">
        <is>
          <t>01048</t>
        </is>
      </c>
      <c r="G83" t="n">
        <v>1700000</v>
      </c>
      <c r="H83" t="inlineStr">
        <is>
          <t>0066731.07.2025 YILDAGI № 26/27 SH/A118 SONLI SHARNOMAGA ASOSAN 1-KURS (AE1419035) YO`LDOSHEVA RUHSHONA XABIBULLO QIZINING KANTRAK TULOVI от YO`LDOSHEVA RUHSHONA XABIBULLO QIZI</t>
        </is>
      </c>
      <c r="I83" t="inlineStr">
        <is>
          <t>Yo'ldosheva Ruhshona Xabibullo qizi</t>
        </is>
      </c>
      <c r="J83" t="inlineStr">
        <is>
          <t>26/27 Sh/A 118</t>
        </is>
      </c>
    </row>
    <row r="84">
      <c r="A84" s="29" t="n">
        <v>46272</v>
      </c>
      <c r="B84" s="32" t="inlineStr">
        <is>
          <t>yangi shot</t>
        </is>
      </c>
      <c r="C84" t="inlineStr">
        <is>
          <t>Транзитный счет для разовых платежей               200542744</t>
        </is>
      </c>
      <c r="D84" t="inlineStr">
        <is>
          <t>10355609</t>
        </is>
      </c>
      <c r="E84" t="inlineStr">
        <is>
          <t>06</t>
        </is>
      </c>
      <c r="F84" t="inlineStr">
        <is>
          <t>01048</t>
        </is>
      </c>
      <c r="G84" t="n">
        <v>1500000</v>
      </c>
      <c r="H84" t="inlineStr">
        <is>
          <t>00655MAXMASHOXOVA FERUZA BEKMUROD QIZI SHARYTNOMA №26/27 SH/А 101 27,07,2026 yilga asosan o'qish uchun to'lov. от MAXMASHOXOVA FERUZA</t>
        </is>
      </c>
      <c r="I84" t="inlineStr">
        <is>
          <t>Maxmashoxova Feruza Bekmurod qizi</t>
        </is>
      </c>
      <c r="J84" t="inlineStr">
        <is>
          <t>26/27 Sh/A 101</t>
        </is>
      </c>
    </row>
    <row r="85">
      <c r="A85" s="29" t="n">
        <v>46272</v>
      </c>
      <c r="B85" s="32" t="inlineStr">
        <is>
          <t>yangi shot</t>
        </is>
      </c>
      <c r="C85" t="inlineStr">
        <is>
          <t>Транзитный счет для разовых платежей               200542744</t>
        </is>
      </c>
      <c r="D85" t="inlineStr">
        <is>
          <t>10337217</t>
        </is>
      </c>
      <c r="E85" t="inlineStr">
        <is>
          <t>06</t>
        </is>
      </c>
      <c r="F85" t="inlineStr">
        <is>
          <t>01048</t>
        </is>
      </c>
      <c r="G85" t="n">
        <v>1300000</v>
      </c>
      <c r="H85" t="inlineStr">
        <is>
          <t>0065522.08.2026 №26/27 SH/A 212 shartnomaga asosan Narziyeva Intizor Iskandar qizi(AB5359926) ning kontrakt tulovi uchun от ALLAYOROVA DILFUZA</t>
        </is>
      </c>
      <c r="I85" t="inlineStr">
        <is>
          <t>Narziyeva Intizor Iskandar qizi</t>
        </is>
      </c>
      <c r="J85" t="inlineStr">
        <is>
          <t>26/27 Sh/A 212</t>
        </is>
      </c>
    </row>
    <row r="86">
      <c r="A86" s="29" t="n">
        <v>46272</v>
      </c>
      <c r="B86" s="32" t="inlineStr">
        <is>
          <t>yangi shot</t>
        </is>
      </c>
      <c r="C86" t="inlineStr">
        <is>
          <t>Транзитный счет для разовых платежей               200542744</t>
        </is>
      </c>
      <c r="D86" t="inlineStr">
        <is>
          <t>10336361</t>
        </is>
      </c>
      <c r="E86" t="inlineStr">
        <is>
          <t>06</t>
        </is>
      </c>
      <c r="F86" t="inlineStr">
        <is>
          <t>01048</t>
        </is>
      </c>
      <c r="G86" t="n">
        <v>2200000</v>
      </c>
      <c r="H86" t="inlineStr">
        <is>
          <t>0065507.09.2026й ШАртнома№26/27 sh/a277 га асосан талаба NAZIROVA SARVARA XAYITMUROD QIZIнинг (пинфл 62907075630023 AD 9509287) контракт тулови утказилди от XOLYAROV HAYITMUTAT</t>
        </is>
      </c>
      <c r="I86" t="inlineStr">
        <is>
          <t>Nazirova Sarvara Xayitmurod qizi</t>
        </is>
      </c>
      <c r="J86" t="inlineStr">
        <is>
          <t>26/27 Sh/A 277</t>
        </is>
      </c>
    </row>
    <row r="87">
      <c r="A87" s="29" t="n">
        <v>46273</v>
      </c>
      <c r="B87" s="32" t="inlineStr">
        <is>
          <t>yangi shot</t>
        </is>
      </c>
      <c r="C87" t="inlineStr">
        <is>
          <t>Чакана амалиётлар кассаси БХМ "Ок Сарой"           200542744</t>
        </is>
      </c>
      <c r="D87" t="inlineStr">
        <is>
          <t>10371920</t>
        </is>
      </c>
      <c r="E87" t="inlineStr">
        <is>
          <t>93</t>
        </is>
      </c>
      <c r="F87" t="inlineStr">
        <is>
          <t>01048</t>
        </is>
      </c>
      <c r="G87" t="n">
        <v>1700000</v>
      </c>
      <c r="H87" t="inlineStr">
        <is>
          <t>001404.08.2026 йил шартнома № 139 га асосан Лухмонова Нозима Илхом кизини укиш контракт тулови от Лухмонова Нозима</t>
        </is>
      </c>
      <c r="I87" t="inlineStr">
        <is>
          <t>Luxmonova Nozima Ilxom qizi</t>
        </is>
      </c>
      <c r="J87" t="inlineStr">
        <is>
          <t>№ 139</t>
        </is>
      </c>
    </row>
    <row r="88">
      <c r="A88" s="29" t="n">
        <v>46273</v>
      </c>
      <c r="B88" s="32" t="inlineStr">
        <is>
          <t>yangi shot</t>
        </is>
      </c>
      <c r="C88" t="inlineStr">
        <is>
          <t>Чакана амалиётлар кассаси БХМ "Ок Сарой"           200542744</t>
        </is>
      </c>
      <c r="D88" t="inlineStr">
        <is>
          <t>10385035</t>
        </is>
      </c>
      <c r="E88" t="inlineStr">
        <is>
          <t>93</t>
        </is>
      </c>
      <c r="F88" t="inlineStr">
        <is>
          <t>01048</t>
        </is>
      </c>
      <c r="G88" t="n">
        <v>1000000</v>
      </c>
      <c r="H88" t="inlineStr">
        <is>
          <t>0014шартномага асосан Чориева Захро Хайрулло кизини укиш контракт тулови от Чориева Захро</t>
        </is>
      </c>
      <c r="I88" t="inlineStr">
        <is>
          <t>Chorieva Zaxro Xayrullo qizi</t>
        </is>
      </c>
      <c r="J88" t="inlineStr"/>
    </row>
    <row r="89">
      <c r="A89" s="29" t="n">
        <v>46273</v>
      </c>
      <c r="B89" s="32" t="inlineStr">
        <is>
          <t>yangi shot</t>
        </is>
      </c>
      <c r="C89" t="inlineStr">
        <is>
          <t>Чакана амалиётлар кассаси БХМ "Ок Сарой"           200542744</t>
        </is>
      </c>
      <c r="D89" t="inlineStr">
        <is>
          <t>10384672</t>
        </is>
      </c>
      <c r="E89" t="inlineStr">
        <is>
          <t>93</t>
        </is>
      </c>
      <c r="F89" t="inlineStr">
        <is>
          <t>01048</t>
        </is>
      </c>
      <c r="G89" t="n">
        <v>1700000</v>
      </c>
      <c r="H89" t="inlineStr">
        <is>
          <t>001428,08,2026 йил шартнома № 242 га асосан Куйсинова Рухшона Тулкин кизини укиш контракт тулови от Куйсинова Рухшона</t>
        </is>
      </c>
      <c r="I89" s="12" t="inlineStr">
        <is>
          <t>Kuysinova Ruxshona Tulkin qizi</t>
        </is>
      </c>
      <c r="J89" t="inlineStr">
        <is>
          <t>№ 242</t>
        </is>
      </c>
    </row>
    <row r="90">
      <c r="A90" s="29" t="n">
        <v>46273</v>
      </c>
      <c r="B90" s="32" t="inlineStr">
        <is>
          <t>yangi shot</t>
        </is>
      </c>
      <c r="C90" t="inlineStr">
        <is>
          <t>Чакана амалиётлар кассаси БХМ "Ок Сарой"           200542744</t>
        </is>
      </c>
      <c r="D90" t="inlineStr">
        <is>
          <t>10372375</t>
        </is>
      </c>
      <c r="E90" t="inlineStr">
        <is>
          <t>93</t>
        </is>
      </c>
      <c r="F90" t="inlineStr">
        <is>
          <t>01048</t>
        </is>
      </c>
      <c r="G90" t="n">
        <v>2000000</v>
      </c>
      <c r="H90" t="inlineStr">
        <is>
          <t>001418.03.2026 йил №25/26 Sh/A365 шартномага асосан контракт тулов от Sunnatullayeva Ezoza</t>
        </is>
      </c>
      <c r="I90" s="12" t="inlineStr">
        <is>
          <t>Sunnatullayeva Ezoza</t>
        </is>
      </c>
      <c r="J90" t="inlineStr">
        <is>
          <t>25/26 Sh/A 365</t>
        </is>
      </c>
    </row>
    <row r="91">
      <c r="A91" s="29" t="n">
        <v>46273</v>
      </c>
      <c r="B91" s="32" t="inlineStr">
        <is>
          <t>yangi shot</t>
        </is>
      </c>
      <c r="C91" t="inlineStr">
        <is>
          <t>Чакана амалиётлар кассаси  ЭЦ Янги Кеш             200542744</t>
        </is>
      </c>
      <c r="D91" t="inlineStr">
        <is>
          <t>10382992</t>
        </is>
      </c>
      <c r="E91" t="inlineStr">
        <is>
          <t>93</t>
        </is>
      </c>
      <c r="F91" t="inlineStr">
        <is>
          <t>01048</t>
        </is>
      </c>
      <c r="G91" t="n">
        <v>1700000</v>
      </c>
      <c r="H91" t="inlineStr">
        <is>
          <t>003127.08.2026 йил №26/27 Sh/A 236 шартномага асосан Гайбуллаева Рухсора Хусниддин кизининг укиши учун тулов от GAYBULLAYEVA RUXSORA</t>
        </is>
      </c>
      <c r="I91" s="12" t="inlineStr">
        <is>
          <t>Gaybullaeva Ruxsora Xusniddin qizi</t>
        </is>
      </c>
      <c r="J91" t="inlineStr">
        <is>
          <t>26/27 Sh/A 236</t>
        </is>
      </c>
    </row>
    <row r="92">
      <c r="A92" s="29" t="n">
        <v>46274</v>
      </c>
      <c r="B92" s="32" t="inlineStr">
        <is>
          <t>yangi shot</t>
        </is>
      </c>
      <c r="C92" t="inlineStr">
        <is>
          <t>Чакана амалиётлар кассаси БХМ "Ок Сарой"           200542744</t>
        </is>
      </c>
      <c r="D92" t="inlineStr">
        <is>
          <t>10410086</t>
        </is>
      </c>
      <c r="E92" t="inlineStr">
        <is>
          <t>93</t>
        </is>
      </c>
      <c r="F92" t="inlineStr">
        <is>
          <t>01048</t>
        </is>
      </c>
      <c r="G92" t="n">
        <v>1000000</v>
      </c>
      <c r="H92" t="inlineStr">
        <is>
          <t>001410.08.2026 йил шартнома № 166 га асосан Хасанова Дилнура Эсон кизини укиш контракт тулови от Хасанова Дилнура</t>
        </is>
      </c>
      <c r="I92" t="inlineStr">
        <is>
          <t>Xasanova Dilnura Eson qizi</t>
        </is>
      </c>
      <c r="J92" t="inlineStr">
        <is>
          <t>№ 166</t>
        </is>
      </c>
    </row>
    <row r="93">
      <c r="A93" s="29" t="n">
        <v>46274</v>
      </c>
      <c r="B93" s="32" t="inlineStr">
        <is>
          <t>yangi shot</t>
        </is>
      </c>
      <c r="C93" t="inlineStr">
        <is>
          <t>Чакана амалиётлар кассаси БХМ "Ок Сарой"           200542744</t>
        </is>
      </c>
      <c r="D93" t="inlineStr">
        <is>
          <t>10416297</t>
        </is>
      </c>
      <c r="E93" t="inlineStr">
        <is>
          <t>93</t>
        </is>
      </c>
      <c r="F93" t="inlineStr">
        <is>
          <t>01048</t>
        </is>
      </c>
      <c r="G93" t="n">
        <v>1700000</v>
      </c>
      <c r="H93" t="inlineStr">
        <is>
          <t>001418.08.2026 йил шартнома № 196 га асосан Хусанова Азиза Фазлиддин кизини укиш контракт тулови от Хусанова Азиза</t>
        </is>
      </c>
      <c r="I93" t="inlineStr">
        <is>
          <t>Xusanova Aziza Fazliddin qizi</t>
        </is>
      </c>
      <c r="J93" t="inlineStr">
        <is>
          <t>№ 196</t>
        </is>
      </c>
    </row>
    <row r="94">
      <c r="A94" s="29" t="n">
        <v>46274</v>
      </c>
      <c r="B94" s="32" t="inlineStr">
        <is>
          <t>yangi shot</t>
        </is>
      </c>
      <c r="C94" t="inlineStr">
        <is>
          <t>Транзитный счет для разовых платежей               200542744</t>
        </is>
      </c>
      <c r="D94" t="inlineStr">
        <is>
          <t>10422109</t>
        </is>
      </c>
      <c r="E94" t="inlineStr">
        <is>
          <t>06</t>
        </is>
      </c>
      <c r="F94" t="inlineStr">
        <is>
          <t>01048</t>
        </is>
      </c>
      <c r="G94" t="n">
        <v>1180000</v>
      </c>
      <c r="H94" t="inlineStr">
        <is>
          <t>0066728.08.2026 YILDAGI № 26/27 SH/A239 SONLI SHARNOMAGA ASOSAN 1-KURS (AE6702868) BERDIQULOVA GULSHAN RUSTAM QIZINING KANTRAK TULOVI от BERDIQULOVA GULSHAN RUSTAM QIZI</t>
        </is>
      </c>
      <c r="I94" t="inlineStr">
        <is>
          <t>Berdiqulova Gulshan Rustam qizi</t>
        </is>
      </c>
      <c r="J94" t="inlineStr">
        <is>
          <t>26/27 Sh/A 239</t>
        </is>
      </c>
    </row>
    <row r="95">
      <c r="A95" s="29" t="n">
        <v>46274</v>
      </c>
      <c r="B95" s="32" t="inlineStr">
        <is>
          <t>yangi shot</t>
        </is>
      </c>
      <c r="C95" t="inlineStr">
        <is>
          <t>Транзитный счет для разовых платежей               200542744</t>
        </is>
      </c>
      <c r="D95" t="inlineStr">
        <is>
          <t>10414605</t>
        </is>
      </c>
      <c r="E95" t="inlineStr">
        <is>
          <t>06</t>
        </is>
      </c>
      <c r="F95" t="inlineStr">
        <is>
          <t>01048</t>
        </is>
      </c>
      <c r="G95" t="n">
        <v>1700000</v>
      </c>
      <c r="H95" t="inlineStr">
        <is>
          <t>0066728.07.2026 ЙИЛДАГИ №26/27SH/A110 СОНЛИ ШАРТНОМАГА АСОСАН ESHMURODOVA CHAROS НИ УКИШИ УЧУН УТКАЗИЛДИ от ESHMURODOVA CHAROS</t>
        </is>
      </c>
      <c r="I95" t="inlineStr">
        <is>
          <t>Eshmurodova Charos</t>
        </is>
      </c>
      <c r="J95" t="inlineStr">
        <is>
          <t>26/27 Sh/A 110</t>
        </is>
      </c>
    </row>
    <row r="96">
      <c r="A96" s="29" t="n">
        <v>46274</v>
      </c>
      <c r="B96" s="28" t="inlineStr">
        <is>
          <t>yangi shot</t>
        </is>
      </c>
      <c r="C96" s="30" t="inlineStr">
        <is>
          <t>Жисмоний шахслардан бир марталик туловлар бош?а бан200547792</t>
        </is>
      </c>
      <c r="D96" s="30" t="inlineStr">
        <is>
          <t>0070431892</t>
        </is>
      </c>
      <c r="E96" s="30" t="inlineStr">
        <is>
          <t>06</t>
        </is>
      </c>
      <c r="F96" s="30" t="inlineStr">
        <is>
          <t>00433</t>
        </is>
      </c>
      <c r="G96" s="30" t="n">
        <v>1252000</v>
      </c>
      <c r="H96" s="30" t="inlineStr">
        <is>
          <t>00111Meyliqulova Hilola Farhod qizining 15.07.2026y №26/27 Sh/A60 sonli shart as kontrakt to`lovi</t>
        </is>
      </c>
      <c r="I96" t="inlineStr">
        <is>
          <t>Meyliqulova Hilola Farhod qizi</t>
        </is>
      </c>
      <c r="J96" t="inlineStr">
        <is>
          <t>26/27 Sh/A 60</t>
        </is>
      </c>
    </row>
    <row r="97">
      <c r="A97" s="29" t="n">
        <v>46274</v>
      </c>
      <c r="B97" s="32" t="inlineStr">
        <is>
          <t>yangi shot</t>
        </is>
      </c>
      <c r="C97" t="inlineStr">
        <is>
          <t>Транзитный счет для разовых платежей               200542744</t>
        </is>
      </c>
      <c r="D97" t="inlineStr">
        <is>
          <t>10404344</t>
        </is>
      </c>
      <c r="E97" t="inlineStr">
        <is>
          <t>06</t>
        </is>
      </c>
      <c r="F97" t="inlineStr">
        <is>
          <t>01048</t>
        </is>
      </c>
      <c r="G97" t="n">
        <v>1700000</v>
      </c>
      <c r="H97" t="inlineStr">
        <is>
          <t>00655Эшназарова Дилнозанинг шартнома учун тулов. от Эшназарова дилноза</t>
        </is>
      </c>
      <c r="I97" t="inlineStr">
        <is>
          <t>Eshnazarova Dilnoza</t>
        </is>
      </c>
      <c r="J97" t="inlineStr"/>
    </row>
    <row r="98">
      <c r="A98" s="29" t="n">
        <v>46274</v>
      </c>
      <c r="B98" s="28" t="inlineStr">
        <is>
          <t>yangi shot</t>
        </is>
      </c>
      <c r="C98" t="inlineStr">
        <is>
          <t>Транзитный счет для разовых платежей               200542744</t>
        </is>
      </c>
      <c r="D98" t="inlineStr">
        <is>
          <t>10404556</t>
        </is>
      </c>
      <c r="E98" t="inlineStr">
        <is>
          <t>06</t>
        </is>
      </c>
      <c r="F98" t="inlineStr">
        <is>
          <t>01048</t>
        </is>
      </c>
      <c r="G98" t="n">
        <v>1800000</v>
      </c>
      <c r="H98" t="inlineStr">
        <is>
          <t>0065507.09.2026 йилдаги №26/27 SH/A 274 сонли шартномага асосан контракт тулови учун утказилди от Абдихалилова Шахзода Баходир кизи</t>
        </is>
      </c>
      <c r="I98" t="inlineStr">
        <is>
          <t>Abdixalilova Shaxzoda Baxodir qizi</t>
        </is>
      </c>
      <c r="J98" t="inlineStr">
        <is>
          <t>26/27 Sh/A 274</t>
        </is>
      </c>
    </row>
    <row r="99">
      <c r="A99" s="29" t="n">
        <v>46275</v>
      </c>
      <c r="B99" s="28" t="inlineStr">
        <is>
          <t>yangi shot</t>
        </is>
      </c>
      <c r="C99" s="30" t="inlineStr">
        <is>
          <t>Транзитный счет для разовых платежей               200542744</t>
        </is>
      </c>
      <c r="D99" s="30" t="inlineStr">
        <is>
          <t>10430320</t>
        </is>
      </c>
      <c r="E99" s="30" t="inlineStr">
        <is>
          <t>06</t>
        </is>
      </c>
      <c r="F99" s="30" t="inlineStr">
        <is>
          <t>01048</t>
        </is>
      </c>
      <c r="G99" s="30" t="n">
        <v>2000000</v>
      </c>
      <c r="H99" s="30" t="inlineStr">
        <is>
          <t>006552026-йил 17-августдаги Шартнома №26/27 Sh/Aга асосан 1-курс талабаси Hasanova Marjona Xolmurod qizi(AE5685784)нинг укиш тулови учун утказилди от Abdiyev Xolmurod</t>
        </is>
      </c>
      <c r="I99" t="inlineStr">
        <is>
          <t>Yil 17 Avgustdagi Hasanova Marjona Xolmurod qizi</t>
        </is>
      </c>
      <c r="J99" t="inlineStr">
        <is>
          <t>№ 26</t>
        </is>
      </c>
    </row>
    <row r="100">
      <c r="A100" s="29" t="n">
        <v>46275</v>
      </c>
      <c r="B100" s="32" t="inlineStr">
        <is>
          <t>yangi shot</t>
        </is>
      </c>
      <c r="C100" t="inlineStr">
        <is>
          <t>Транзитный счет для разовых платежей               200542744</t>
        </is>
      </c>
      <c r="D100" t="inlineStr">
        <is>
          <t>10439853</t>
        </is>
      </c>
      <c r="E100" t="inlineStr">
        <is>
          <t>06</t>
        </is>
      </c>
      <c r="F100" t="inlineStr">
        <is>
          <t>01048</t>
        </is>
      </c>
      <c r="G100" t="n">
        <v>1700000</v>
      </c>
      <c r="H100" t="inlineStr">
        <is>
          <t>0065520.08.2026 й.даги SHARTNOMA №26/27 Sh/A 203 га асосан 1-курс талабаси ABDURAHMONOVA PARVINA ALISHER QIZI(AE2261219)нинг укиш тулови учун от SHARIPOVA DILDORA</t>
        </is>
      </c>
      <c r="I100" t="inlineStr">
        <is>
          <t>Abdurahmonova Parvina Alisher qizi</t>
        </is>
      </c>
      <c r="J100" t="inlineStr">
        <is>
          <t>26/27 Sh/A 203</t>
        </is>
      </c>
    </row>
    <row r="101">
      <c r="A101" s="29" t="n">
        <v>46275</v>
      </c>
      <c r="B101" s="32" t="inlineStr">
        <is>
          <t>yangi shot</t>
        </is>
      </c>
      <c r="C101" t="inlineStr">
        <is>
          <t>Транзитный счет для разовых платежей               200542744</t>
        </is>
      </c>
      <c r="D101" t="inlineStr">
        <is>
          <t>10441440</t>
        </is>
      </c>
      <c r="E101" t="inlineStr">
        <is>
          <t>06</t>
        </is>
      </c>
      <c r="F101" t="inlineStr">
        <is>
          <t>01048</t>
        </is>
      </c>
      <c r="G101" t="n">
        <v>3525000</v>
      </c>
      <c r="H101" t="inlineStr">
        <is>
          <t>0065525,08,2026йилдаги №26/27 Sh/A 229 шартномага асосан AZAMATOVA CHAROS ABDUAZIZ QIZI(AE1520971)нинг контракт тулови от Бобоёрова Марзия</t>
        </is>
      </c>
      <c r="I101" t="inlineStr">
        <is>
          <t>Azamatova Charos Abduaziz qizi</t>
        </is>
      </c>
      <c r="J101" t="inlineStr">
        <is>
          <t>26/27 Sh/A 229</t>
        </is>
      </c>
    </row>
    <row r="102">
      <c r="A102" s="29" t="n">
        <v>46275</v>
      </c>
      <c r="B102" s="32" t="inlineStr">
        <is>
          <t>yangi shot</t>
        </is>
      </c>
      <c r="C102" t="inlineStr">
        <is>
          <t>Т/счет для спис с ПК физлиц по другим платежам (70 200542744</t>
        </is>
      </c>
      <c r="D102" t="inlineStr">
        <is>
          <t>10450183</t>
        </is>
      </c>
      <c r="E102" t="inlineStr">
        <is>
          <t>06</t>
        </is>
      </c>
      <c r="F102" t="inlineStr">
        <is>
          <t>01048</t>
        </is>
      </c>
      <c r="G102" t="n">
        <v>1700000</v>
      </c>
      <c r="H102" t="inlineStr">
        <is>
          <t>00655МЕЙЛИЕВА УМИДА ШАРТНОМА №26/27 SH/А 07.09.2026 йилга асосан укиш учун тулов. от MEYLIYEVA UMIDA</t>
        </is>
      </c>
      <c r="I102" t="inlineStr">
        <is>
          <t>Meylieva Umida</t>
        </is>
      </c>
      <c r="J102" t="inlineStr">
        <is>
          <t>№ 26</t>
        </is>
      </c>
    </row>
    <row r="103">
      <c r="A103" s="29" t="n">
        <v>46275</v>
      </c>
      <c r="B103" s="32" t="inlineStr">
        <is>
          <t>yangi shot</t>
        </is>
      </c>
      <c r="C103" t="inlineStr">
        <is>
          <t>Т/счет для спис с ПК физлиц по другим платежам (70 200542744</t>
        </is>
      </c>
      <c r="D103" t="inlineStr">
        <is>
          <t>10432735</t>
        </is>
      </c>
      <c r="E103" t="inlineStr">
        <is>
          <t>06</t>
        </is>
      </c>
      <c r="F103" t="inlineStr">
        <is>
          <t>01048</t>
        </is>
      </c>
      <c r="G103" t="n">
        <v>1250000</v>
      </c>
      <c r="H103" t="inlineStr">
        <is>
          <t>0065525.08.2026 № 26/27 SH/A ga asosan OMONOVA CHAROS ORIF QIZI(JSHSHIR:40306985590014) ning kontrakt tulovi uchun от INATOV NODIR</t>
        </is>
      </c>
      <c r="I103" s="12" t="inlineStr">
        <is>
          <t>Omonova Charos Orif qizi</t>
        </is>
      </c>
      <c r="J103" t="inlineStr"/>
    </row>
    <row r="104">
      <c r="A104" s="29" t="n">
        <v>46276</v>
      </c>
      <c r="B104" s="32" t="inlineStr">
        <is>
          <t>yangi shot</t>
        </is>
      </c>
      <c r="C104" t="inlineStr">
        <is>
          <t>Транзитный счет для разовых платежей               200542744</t>
        </is>
      </c>
      <c r="D104" t="inlineStr">
        <is>
          <t>10480817</t>
        </is>
      </c>
      <c r="E104" t="inlineStr">
        <is>
          <t>06</t>
        </is>
      </c>
      <c r="F104" t="inlineStr">
        <is>
          <t>01048</t>
        </is>
      </c>
      <c r="G104" t="n">
        <v>2000000</v>
      </c>
      <c r="H104" t="inlineStr">
        <is>
          <t>0066707.09.2026й.даги Шартнома №26/27 Sh/A 277га асосан 1-курс талабаси Махмудова Гулсанам Негмат кизи(AE1695093)нинг контракт тулови учун от Холкараева Шарофат</t>
        </is>
      </c>
      <c r="I104" t="inlineStr">
        <is>
          <t>Maxmudova Gulsanam Negmat qizi</t>
        </is>
      </c>
      <c r="J104" t="inlineStr">
        <is>
          <t>26/27 Sh/A 277</t>
        </is>
      </c>
    </row>
    <row r="105">
      <c r="A105" s="29" t="n">
        <v>46276</v>
      </c>
      <c r="B105" s="32" t="inlineStr">
        <is>
          <t>yangi shot</t>
        </is>
      </c>
      <c r="C105" t="inlineStr">
        <is>
          <t>Транзитный счет для разовых платежей               200542744</t>
        </is>
      </c>
      <c r="D105" t="inlineStr">
        <is>
          <t>10484451</t>
        </is>
      </c>
      <c r="E105" t="inlineStr">
        <is>
          <t>06</t>
        </is>
      </c>
      <c r="F105" t="inlineStr">
        <is>
          <t>01048</t>
        </is>
      </c>
      <c r="G105" t="n">
        <v>1500000</v>
      </c>
      <c r="H105" t="inlineStr">
        <is>
          <t>0066710.08.2026й.даги Шартнома№26/27 Sh/A 161 га асосан 1-курс талабаси Тухтаева Дурдона Назим кизи(AC5199773)нинг укиш тулови учун от Гофурова Шахзода</t>
        </is>
      </c>
      <c r="I105" t="inlineStr">
        <is>
          <t>Tuxtaeva Durdona Nazim qizi</t>
        </is>
      </c>
      <c r="J105" t="inlineStr">
        <is>
          <t>26/27 Sh/A 161</t>
        </is>
      </c>
    </row>
    <row r="106">
      <c r="A106" s="29" t="n">
        <v>46276</v>
      </c>
      <c r="B106" s="32" t="inlineStr">
        <is>
          <t>yangi shot</t>
        </is>
      </c>
      <c r="C106" t="inlineStr">
        <is>
          <t>Бир марталик туловлар бошка банкларга 1%           200547792</t>
        </is>
      </c>
      <c r="D106" t="inlineStr">
        <is>
          <t>0070478173</t>
        </is>
      </c>
      <c r="E106" t="inlineStr">
        <is>
          <t>06</t>
        </is>
      </c>
      <c r="F106" t="inlineStr">
        <is>
          <t>00433</t>
        </is>
      </c>
      <c r="G106" t="n">
        <v>1700000</v>
      </c>
      <c r="H106" t="inlineStr">
        <is>
          <t>00995Hamroqulova F 1-kurs Hamroqulova Farzonaning kontrakt to`lovi RRN (625409146200)</t>
        </is>
      </c>
      <c r="I106" t="inlineStr">
        <is>
          <t>Hamroqulova Farzona</t>
        </is>
      </c>
      <c r="J106" t="inlineStr"/>
    </row>
    <row r="107">
      <c r="A107" s="29" t="n">
        <v>46279</v>
      </c>
      <c r="B107" s="32" t="inlineStr">
        <is>
          <t>yangi shot</t>
        </is>
      </c>
      <c r="C107" t="inlineStr">
        <is>
          <t>Чакана амалиётлар кассаси БХМ "Ок Сарой"           200542744</t>
        </is>
      </c>
      <c r="D107" t="inlineStr">
        <is>
          <t>10521755</t>
        </is>
      </c>
      <c r="E107" t="inlineStr">
        <is>
          <t>93</t>
        </is>
      </c>
      <c r="F107" t="inlineStr">
        <is>
          <t>01048</t>
        </is>
      </c>
      <c r="G107" t="n">
        <v>1700000</v>
      </c>
      <c r="H107" t="inlineStr">
        <is>
          <t>001408,09,2026 йил шартнома № 292 га асосан Ибодуллаева Асилзода Латиф кизини укиш контракт тулови от Сайипов Латиф</t>
        </is>
      </c>
      <c r="I107" t="inlineStr">
        <is>
          <t>Ibodullaeva Asilzoda Latif qizi</t>
        </is>
      </c>
      <c r="J107" t="inlineStr">
        <is>
          <t>№ 292</t>
        </is>
      </c>
    </row>
    <row r="108">
      <c r="A108" s="29" t="n">
        <v>46279</v>
      </c>
      <c r="B108" s="32" t="inlineStr">
        <is>
          <t>yangi shot</t>
        </is>
      </c>
      <c r="C108" t="inlineStr">
        <is>
          <t>Чакана амалиётлар кассаси  ЭЦ Янги Кеш             200542744</t>
        </is>
      </c>
      <c r="D108" t="inlineStr">
        <is>
          <t>10532268</t>
        </is>
      </c>
      <c r="E108" t="inlineStr">
        <is>
          <t>93</t>
        </is>
      </c>
      <c r="F108" t="inlineStr">
        <is>
          <t>01048</t>
        </is>
      </c>
      <c r="G108" t="n">
        <v>1275000</v>
      </c>
      <c r="H108" t="inlineStr">
        <is>
          <t>001423.06.2026 йил №26/27 Sh/A шартномага асосан 1-курс талабаси Мажидова Намуна Шункор кизининг укиши учун тулов от МАЖИДОВА НАМУНА</t>
        </is>
      </c>
      <c r="I108" t="inlineStr">
        <is>
          <t>Majidova Namuna Shunkor qizi</t>
        </is>
      </c>
      <c r="J108" t="inlineStr"/>
    </row>
    <row r="109">
      <c r="A109" s="29" t="n">
        <v>46279</v>
      </c>
      <c r="B109" s="32" t="inlineStr">
        <is>
          <t>yangi shot</t>
        </is>
      </c>
      <c r="C109" t="inlineStr">
        <is>
          <t>Транзитный счет для разовых платежей               200542744</t>
        </is>
      </c>
      <c r="D109" t="inlineStr">
        <is>
          <t>10525112</t>
        </is>
      </c>
      <c r="E109" t="inlineStr">
        <is>
          <t>06</t>
        </is>
      </c>
      <c r="F109" t="inlineStr">
        <is>
          <t>01048</t>
        </is>
      </c>
      <c r="G109" t="n">
        <v>1000000</v>
      </c>
      <c r="H109" t="inlineStr">
        <is>
          <t>0065510.06.2026й. Шартнома №26/27 Sh/A 390 га асосан 1-курс талабаси Махмудмуродова Севара (AE2103843)нинг укиш тулови учун от САНАЕВА ХУРСАН</t>
        </is>
      </c>
      <c r="I109" s="12" t="inlineStr">
        <is>
          <t>Maxmudmurodova Sevara</t>
        </is>
      </c>
      <c r="J109" t="inlineStr">
        <is>
          <t>26/27 Sh/A 390</t>
        </is>
      </c>
      <c r="K109" s="31" t="n"/>
      <c r="L109" s="31" t="n"/>
      <c r="M109" s="31" t="n"/>
      <c r="N109" s="31" t="n"/>
      <c r="O109" s="31" t="n"/>
      <c r="P109" s="31" t="n"/>
      <c r="Q109" s="31" t="n"/>
      <c r="R109" s="31" t="n"/>
      <c r="S109" s="31" t="n"/>
      <c r="T109" s="31" t="n"/>
    </row>
    <row r="110">
      <c r="A110" s="29" t="n">
        <v>46279</v>
      </c>
      <c r="B110" s="32" t="inlineStr">
        <is>
          <t>yangi shot</t>
        </is>
      </c>
      <c r="C110" t="inlineStr">
        <is>
          <t>Жисмоний шахслардан бир марталик туловлар бош?а бан200547792</t>
        </is>
      </c>
      <c r="D110" t="inlineStr">
        <is>
          <t>0070500197</t>
        </is>
      </c>
      <c r="E110" t="inlineStr">
        <is>
          <t>06</t>
        </is>
      </c>
      <c r="F110" t="inlineStr">
        <is>
          <t>00433</t>
        </is>
      </c>
      <c r="G110" t="n">
        <v>1248000</v>
      </c>
      <c r="H110" t="inlineStr">
        <is>
          <t>001111-kurs Zayidova Shaboda Sodiqovnaning AE5856503 04.06.2026y №26/27 Sh/A387 shart as kontrakt to`lovi</t>
        </is>
      </c>
      <c r="I110" t="inlineStr">
        <is>
          <t>Zayidova Shaboda Sodiqovna</t>
        </is>
      </c>
      <c r="J110" t="inlineStr">
        <is>
          <t>26/27 Sh/A 387</t>
        </is>
      </c>
    </row>
    <row r="111">
      <c r="A111" s="29" t="n">
        <v>46279</v>
      </c>
      <c r="B111" s="32" t="inlineStr">
        <is>
          <t>yangi shot</t>
        </is>
      </c>
      <c r="C111" t="inlineStr">
        <is>
          <t>Naqd pul mablag`i bo`yicha jismoniy shaxslarning ma203556638</t>
        </is>
      </c>
      <c r="D111" t="inlineStr">
        <is>
          <t>0006823323</t>
        </is>
      </c>
      <c r="E111" t="inlineStr">
        <is>
          <t>06</t>
        </is>
      </c>
      <c r="F111" t="inlineStr">
        <is>
          <t>00973</t>
        </is>
      </c>
      <c r="G111" t="n">
        <v>1200000</v>
      </c>
      <c r="H111" t="inlineStr">
        <is>
          <t>00099Муродуллаев Азизбек Одилжон угли томонидан Шартномага асосан контракт тулови.</t>
        </is>
      </c>
      <c r="I111" t="inlineStr">
        <is>
          <t>Murodullaev Azizbek Odiljon o'g'li</t>
        </is>
      </c>
      <c r="J111" t="inlineStr"/>
    </row>
    <row r="112">
      <c r="A112" s="29" t="n">
        <v>46279</v>
      </c>
      <c r="B112" s="32" t="inlineStr">
        <is>
          <t>yangi shot</t>
        </is>
      </c>
      <c r="C112" t="inlineStr">
        <is>
          <t>SQB Mobile ilovasi orqali xisob raqamlarga o'kazma 200833707</t>
        </is>
      </c>
      <c r="D112" t="inlineStr">
        <is>
          <t>787439</t>
        </is>
      </c>
      <c r="E112" t="inlineStr">
        <is>
          <t>21</t>
        </is>
      </c>
      <c r="F112" t="inlineStr">
        <is>
          <t>00440</t>
        </is>
      </c>
      <c r="G112" t="n">
        <v>1700000</v>
      </c>
      <c r="H112" t="inlineStr">
        <is>
          <t>00667   Saidova Dilsozni kontrakt tulovi uchun</t>
        </is>
      </c>
      <c r="I112" t="inlineStr">
        <is>
          <t>Saidova Dilsoz</t>
        </is>
      </c>
      <c r="J112" t="inlineStr"/>
    </row>
    <row r="113">
      <c r="A113" s="29" t="n">
        <v>46280</v>
      </c>
      <c r="B113" s="32" t="inlineStr">
        <is>
          <t>yangi shot</t>
        </is>
      </c>
      <c r="C113" t="inlineStr">
        <is>
          <t>Naqd pul mablag`i bo`yicha jismoniy shaxslarning ma203556638</t>
        </is>
      </c>
      <c r="D113" t="inlineStr">
        <is>
          <t>0006825700</t>
        </is>
      </c>
      <c r="E113" t="inlineStr">
        <is>
          <t>06</t>
        </is>
      </c>
      <c r="F113" t="inlineStr">
        <is>
          <t>00973</t>
        </is>
      </c>
      <c r="G113" t="n">
        <v>2000000</v>
      </c>
      <c r="H113" t="inlineStr">
        <is>
          <t>00099Негматова Севинч Хикматулло кизи томонидан шартномага асосан кантрак тулови  AE 7082532</t>
        </is>
      </c>
      <c r="I113" t="inlineStr">
        <is>
          <t>Negmatova Sevinch Xikmatullo qizi</t>
        </is>
      </c>
      <c r="J113" t="inlineStr"/>
    </row>
    <row r="114">
      <c r="A114" s="29" t="n">
        <v>46280</v>
      </c>
      <c r="B114" s="32" t="inlineStr">
        <is>
          <t>yangi shot</t>
        </is>
      </c>
      <c r="C114" t="inlineStr">
        <is>
          <t>Транзитный счет для разовых платежей               200542744</t>
        </is>
      </c>
      <c r="D114" t="inlineStr">
        <is>
          <t>10552271</t>
        </is>
      </c>
      <c r="E114" t="inlineStr">
        <is>
          <t>06</t>
        </is>
      </c>
      <c r="F114" t="inlineStr">
        <is>
          <t>01048</t>
        </is>
      </c>
      <c r="G114" t="n">
        <v>1700000</v>
      </c>
      <c r="H114" t="inlineStr">
        <is>
          <t>0065514.09.2026й Шартнома№26/27 sh/a 303 га асосан талаба ABDUJALOLOVA DILNURA нинг (AE3226699) контракт тулови утказилди от ERGASHOV YUSUFJON</t>
        </is>
      </c>
      <c r="I114" t="inlineStr">
        <is>
          <t>Abdujalolova Dilnura</t>
        </is>
      </c>
      <c r="J114" t="inlineStr">
        <is>
          <t>26/27 Sh/A 303</t>
        </is>
      </c>
    </row>
    <row r="115">
      <c r="A115" s="29" t="n">
        <v>46280</v>
      </c>
      <c r="B115" s="32" t="inlineStr">
        <is>
          <t>yangi shot</t>
        </is>
      </c>
      <c r="C115" t="inlineStr">
        <is>
          <t>Транзитный счет для разовых платежей               200542744</t>
        </is>
      </c>
      <c r="D115" t="inlineStr">
        <is>
          <t>10570149</t>
        </is>
      </c>
      <c r="E115" t="inlineStr">
        <is>
          <t>06</t>
        </is>
      </c>
      <c r="F115" t="inlineStr">
        <is>
          <t>01048</t>
        </is>
      </c>
      <c r="G115" t="n">
        <v>1700000</v>
      </c>
      <c r="H115" t="inlineStr">
        <is>
          <t>0066709.09.2026й Шартнома№ 26/27 sh/a 294 га асосан талаба ILHOMOVA ZUHRA DAVRON QIZIнинг 509101203-хамширали киши учун контракт тулови утказилди от ILHOMOVA ZUHRA</t>
        </is>
      </c>
      <c r="I115" t="inlineStr">
        <is>
          <t>Ilhomova Zuhra Davron qizi</t>
        </is>
      </c>
      <c r="J115" t="inlineStr">
        <is>
          <t>26/27 Sh/A 294</t>
        </is>
      </c>
    </row>
    <row r="116">
      <c r="A116" s="29" t="n">
        <v>46280</v>
      </c>
      <c r="B116" s="32" t="inlineStr">
        <is>
          <t>yangi shot</t>
        </is>
      </c>
      <c r="C116" t="inlineStr">
        <is>
          <t>RESPUBLIKA INKASSATSIYA XIZMATI MCHJ Shaxrisabz t. 201052396</t>
        </is>
      </c>
      <c r="D116" t="inlineStr">
        <is>
          <t>4</t>
        </is>
      </c>
      <c r="E116" t="inlineStr">
        <is>
          <t>21</t>
        </is>
      </c>
      <c r="F116" t="inlineStr">
        <is>
          <t>00019</t>
        </is>
      </c>
      <c r="G116" t="n">
        <v>2000000</v>
      </c>
      <c r="H116" t="inlineStr">
        <is>
          <t>00615~РАСУЛОВА ХУСНОБОД БЕКМУРОД КИЗИ  (AD 1615363)  Шарт № 26/27 Sh/A 392 асосида укиш учун тулови  Хамширалик иши йуналиши  1 курс  талабаси Топширувчи шахс: РАСУЛОВА ХУСНОБОД</t>
        </is>
      </c>
      <c r="I116" t="inlineStr">
        <is>
          <t>Rasulova Xusnobod Bekmurod qizi</t>
        </is>
      </c>
      <c r="J116" t="inlineStr">
        <is>
          <t>26/27 Sh/A 392</t>
        </is>
      </c>
    </row>
    <row r="117">
      <c r="A117" s="29" t="n">
        <v>46280</v>
      </c>
      <c r="B117" s="32" t="inlineStr">
        <is>
          <t>yangi shot</t>
        </is>
      </c>
      <c r="C117" t="inlineStr">
        <is>
          <t>Транзитный счет для разовых платежей               200542744</t>
        </is>
      </c>
      <c r="D117" t="inlineStr">
        <is>
          <t>10560539</t>
        </is>
      </c>
      <c r="E117" t="inlineStr">
        <is>
          <t>06</t>
        </is>
      </c>
      <c r="F117" t="inlineStr">
        <is>
          <t>01048</t>
        </is>
      </c>
      <c r="G117" t="n">
        <v>3800000</v>
      </c>
      <c r="H117" t="inlineStr">
        <is>
          <t>00655ZARIPOVA SETORA SHARTNOMA №26/27 SH/A225 24.08.2026 O'qish uchun to'lov. от ZARIPOVA SETORA</t>
        </is>
      </c>
      <c r="I117" t="inlineStr">
        <is>
          <t>Zaripova Setora</t>
        </is>
      </c>
      <c r="J117" t="inlineStr">
        <is>
          <t>26/27 Sh/A 225</t>
        </is>
      </c>
    </row>
    <row r="118">
      <c r="A118" s="29" t="n">
        <v>46280</v>
      </c>
      <c r="B118" s="32" t="inlineStr">
        <is>
          <t>yangi shot</t>
        </is>
      </c>
      <c r="C118" t="inlineStr">
        <is>
          <t>Жисмоний шахслардан бир марталик туловлар бош?а бан200547792</t>
        </is>
      </c>
      <c r="D118" t="inlineStr">
        <is>
          <t>0070522420</t>
        </is>
      </c>
      <c r="E118" t="inlineStr">
        <is>
          <t>06</t>
        </is>
      </c>
      <c r="F118" t="inlineStr">
        <is>
          <t>00433</t>
        </is>
      </c>
      <c r="G118" t="n">
        <v>1700000</v>
      </c>
      <c r="H118" t="inlineStr">
        <is>
          <t>00111SAMIYEVA SEVINCHBONU UYGUN QIZI 1 KURS KONTRAKT TULOVI UCHUN</t>
        </is>
      </c>
      <c r="I118" t="inlineStr">
        <is>
          <t>Samiyeva Sevinchbonu Uygun qizi</t>
        </is>
      </c>
      <c r="J118" t="inlineStr"/>
    </row>
    <row r="119">
      <c r="A119" s="29" t="n">
        <v>46280</v>
      </c>
      <c r="B119" s="32" t="inlineStr">
        <is>
          <t>yangi shot</t>
        </is>
      </c>
      <c r="C119" t="inlineStr">
        <is>
          <t>Чакана амалиётлар кассаси  ЭЦ Янги Кеш             200542744</t>
        </is>
      </c>
      <c r="D119" t="inlineStr">
        <is>
          <t>10561060</t>
        </is>
      </c>
      <c r="E119" t="inlineStr">
        <is>
          <t>93</t>
        </is>
      </c>
      <c r="F119" t="inlineStr">
        <is>
          <t>01048</t>
        </is>
      </c>
      <c r="G119" t="n">
        <v>1300000</v>
      </c>
      <c r="H119" t="inlineStr">
        <is>
          <t>001425.06.2026 йил №26/27 Sh/A 18 шартномага асосан 1-курс таласи Жумаева Хуснида Шавкат кизининг укиши учун тулов от JUMAYEVA HUSNIDA</t>
        </is>
      </c>
      <c r="I119" t="inlineStr">
        <is>
          <t>Jumaeva Xusnida Shavkat qizi</t>
        </is>
      </c>
      <c r="J119" t="inlineStr">
        <is>
          <t>26/27 Sh/A 18</t>
        </is>
      </c>
    </row>
    <row r="120">
      <c r="A120" s="29" t="n">
        <v>46280</v>
      </c>
      <c r="B120" s="32" t="inlineStr">
        <is>
          <t>yangi shot</t>
        </is>
      </c>
      <c r="C120" t="inlineStr">
        <is>
          <t>Чакана амалиётлар кассаси БХМ "Ок Сарой"           200542744</t>
        </is>
      </c>
      <c r="D120" t="inlineStr">
        <is>
          <t>10567463</t>
        </is>
      </c>
      <c r="E120" t="inlineStr">
        <is>
          <t>93</t>
        </is>
      </c>
      <c r="F120" t="inlineStr">
        <is>
          <t>01048</t>
        </is>
      </c>
      <c r="G120" t="n">
        <v>1700000</v>
      </c>
      <c r="H120" t="inlineStr">
        <is>
          <t>001407.09.2026 йил шартнома № 279 га асосан Усмонова Ирода Абдураззок кизини укиш контракт тулови от Усмонова Ирода</t>
        </is>
      </c>
      <c r="I120" t="inlineStr">
        <is>
          <t>Usmonova Iroda Abdurazzok qizi</t>
        </is>
      </c>
      <c r="J120" t="inlineStr">
        <is>
          <t>№ 279</t>
        </is>
      </c>
    </row>
    <row r="121">
      <c r="A121" s="29" t="n">
        <v>46280</v>
      </c>
      <c r="B121" s="32" t="inlineStr">
        <is>
          <t>yangi shot</t>
        </is>
      </c>
      <c r="C121" t="inlineStr">
        <is>
          <t>Чакана амалиётлар кассаси БХМ "Ок Сарой"           200542744</t>
        </is>
      </c>
      <c r="D121" t="inlineStr">
        <is>
          <t>10556069</t>
        </is>
      </c>
      <c r="E121" t="inlineStr">
        <is>
          <t>93</t>
        </is>
      </c>
      <c r="F121" t="inlineStr">
        <is>
          <t>01048</t>
        </is>
      </c>
      <c r="G121" t="n">
        <v>8500000</v>
      </c>
      <c r="H121" t="inlineStr">
        <is>
          <t>001410,09,2026 йил шартнома № 299 га асосан Темирова Рушана Сарваровнани укиш контракт тулови от Темирова Рушана</t>
        </is>
      </c>
      <c r="I121" t="inlineStr">
        <is>
          <t>Temirova Rushana Sarvarovna</t>
        </is>
      </c>
      <c r="J121" t="inlineStr">
        <is>
          <t>№ 299</t>
        </is>
      </c>
    </row>
    <row r="122">
      <c r="A122" s="29" t="n">
        <v>46281</v>
      </c>
      <c r="B122" s="32" t="inlineStr">
        <is>
          <t>yangi shot</t>
        </is>
      </c>
      <c r="C122" t="inlineStr">
        <is>
          <t>Транзитный счет для разовых платежей               200542744</t>
        </is>
      </c>
      <c r="D122" t="inlineStr">
        <is>
          <t>10594522</t>
        </is>
      </c>
      <c r="E122" t="inlineStr">
        <is>
          <t>06</t>
        </is>
      </c>
      <c r="F122" t="inlineStr">
        <is>
          <t>01048</t>
        </is>
      </c>
      <c r="G122" t="n">
        <v>1300000</v>
      </c>
      <c r="H122" t="inlineStr">
        <is>
          <t>0065508.09.2026й Шартнома№26/27 sh/a 288 га асосан талаба SOYIBOVA DINORA SANJAR QIZIнинг 50910203-хамширалик иши учун контракт тулови утказилди от ISLOMOV SOIB</t>
        </is>
      </c>
      <c r="I122" s="12" t="inlineStr">
        <is>
          <t>Soyibova Dinora Sanjar qizi</t>
        </is>
      </c>
      <c r="J122" t="inlineStr">
        <is>
          <t>26/27 Sh/A 288</t>
        </is>
      </c>
    </row>
    <row r="123">
      <c r="A123" s="29" t="n">
        <v>46281</v>
      </c>
      <c r="B123" s="32" t="inlineStr">
        <is>
          <t>yangi shot</t>
        </is>
      </c>
      <c r="C123" t="inlineStr">
        <is>
          <t>Транзитный счет для разовых платежей               200542744</t>
        </is>
      </c>
      <c r="D123" t="inlineStr">
        <is>
          <t>10606387</t>
        </is>
      </c>
      <c r="E123" t="inlineStr">
        <is>
          <t>06</t>
        </is>
      </c>
      <c r="F123" t="inlineStr">
        <is>
          <t>01048</t>
        </is>
      </c>
      <c r="G123" t="n">
        <v>1700000</v>
      </c>
      <c r="H123" t="inlineStr">
        <is>
          <t>00655Tursunova Aziza shartnoma №26/27 sh/А276 07,09,2026 yilga asosan o'qish uchun to'lov от Tursunova Aziza</t>
        </is>
      </c>
      <c r="I123" s="12" t="inlineStr">
        <is>
          <t>Tursunova Aziza</t>
        </is>
      </c>
      <c r="J123" t="inlineStr">
        <is>
          <t>26/27 Sh/A 276</t>
        </is>
      </c>
    </row>
    <row r="124">
      <c r="A124" s="29" t="n">
        <v>46281</v>
      </c>
      <c r="B124" s="32" t="inlineStr">
        <is>
          <t>yangi shot</t>
        </is>
      </c>
      <c r="C124" t="inlineStr">
        <is>
          <t>Жисмоний шахслардан накд пул оркали кабул килинган 200836354</t>
        </is>
      </c>
      <c r="D124" t="inlineStr">
        <is>
          <t>40571526</t>
        </is>
      </c>
      <c r="E124" t="inlineStr">
        <is>
          <t>21</t>
        </is>
      </c>
      <c r="F124" t="inlineStr">
        <is>
          <t>00450</t>
        </is>
      </c>
      <c r="G124" t="n">
        <v>1700000</v>
      </c>
      <c r="H124" t="inlineStr">
        <is>
          <t>00111ABDURAXMONOVA ZAXROBONU 20.08.2026 Y №26/27  SH/A204    SHART-GA AS-N KONTRAK T TULOVI</t>
        </is>
      </c>
      <c r="I124" t="inlineStr">
        <is>
          <t>Abduraxmonova Zaxrobonu</t>
        </is>
      </c>
      <c r="J124" t="inlineStr">
        <is>
          <t>26/27 Sh/A 204</t>
        </is>
      </c>
    </row>
    <row r="125">
      <c r="A125" s="29" t="n">
        <v>46282</v>
      </c>
      <c r="B125" s="32" t="inlineStr">
        <is>
          <t>yangi shot</t>
        </is>
      </c>
      <c r="C125" t="inlineStr">
        <is>
          <t>Транзитный счет для разовых платежей               200542744</t>
        </is>
      </c>
      <c r="D125" t="inlineStr">
        <is>
          <t>10638416</t>
        </is>
      </c>
      <c r="E125" t="inlineStr">
        <is>
          <t>06</t>
        </is>
      </c>
      <c r="F125" t="inlineStr">
        <is>
          <t>01048</t>
        </is>
      </c>
      <c r="G125" t="n">
        <v>1000000</v>
      </c>
      <c r="H125" t="inlineStr">
        <is>
          <t>0066724.08.2026 YILDAGI № 26/27 SH/A122 SONLI SHARNOMAGA ASOSAN 1-KURS (AE6171425) TURGUNOVA JASMINA TURGUN QIZINING KANTRAK TULOVI от TURGUNOVA JASMINA TURGUN QIZI</t>
        </is>
      </c>
      <c r="I125" t="inlineStr">
        <is>
          <t>Turgunova Jasmina Turgun qizi</t>
        </is>
      </c>
      <c r="J125" t="inlineStr">
        <is>
          <t>26/27 Sh/A 122</t>
        </is>
      </c>
    </row>
    <row r="126">
      <c r="A126" s="29" t="n">
        <v>46282</v>
      </c>
      <c r="B126" s="32" t="inlineStr">
        <is>
          <t>yangi shot</t>
        </is>
      </c>
      <c r="C126" t="inlineStr">
        <is>
          <t>Транзитный счет для разовых платежей               200542744</t>
        </is>
      </c>
      <c r="D126" t="inlineStr">
        <is>
          <t>10632274</t>
        </is>
      </c>
      <c r="E126" t="inlineStr">
        <is>
          <t>06</t>
        </is>
      </c>
      <c r="F126" t="inlineStr">
        <is>
          <t>01048</t>
        </is>
      </c>
      <c r="G126" t="n">
        <v>3400000</v>
      </c>
      <c r="H126" t="inlineStr">
        <is>
          <t>0065509.09.2026 №26/27 SH/A 295 ga asosan QODIROVA SABINA SUXROB QIZI(AC2359638) ning kontrakt tulovi uchun от QODIROVA SABINA</t>
        </is>
      </c>
      <c r="I126" t="inlineStr">
        <is>
          <t>Qodirova Sabina Suxrob qizi</t>
        </is>
      </c>
      <c r="J126" t="inlineStr">
        <is>
          <t>26/27 Sh/A 295</t>
        </is>
      </c>
    </row>
    <row r="127">
      <c r="A127" s="29" t="n">
        <v>46282</v>
      </c>
      <c r="B127" s="32" t="inlineStr">
        <is>
          <t>yangi shot</t>
        </is>
      </c>
      <c r="C127" t="inlineStr">
        <is>
          <t>Транзитный счет для разовых платежей               200542744</t>
        </is>
      </c>
      <c r="D127" t="inlineStr">
        <is>
          <t>10632880</t>
        </is>
      </c>
      <c r="E127" t="inlineStr">
        <is>
          <t>06</t>
        </is>
      </c>
      <c r="F127" t="inlineStr">
        <is>
          <t>01048</t>
        </is>
      </c>
      <c r="G127" t="n">
        <v>1650000</v>
      </c>
      <c r="H127" t="inlineStr">
        <is>
          <t>0065531.08.2026й Шартнома№26/27 sh/a 250 га асосан талаба KARIMOVA NOZLIYA нинг 1-курс 50910203-Хамширалик иши учун контракт тулови утказилди от KARIMOVA NOZLIYA</t>
        </is>
      </c>
      <c r="I127" t="inlineStr">
        <is>
          <t>Karimova Nozliya</t>
        </is>
      </c>
      <c r="J127" t="inlineStr">
        <is>
          <t>26/27 Sh/A 250</t>
        </is>
      </c>
    </row>
    <row r="128">
      <c r="A128" s="29" t="n">
        <v>46282</v>
      </c>
      <c r="B128" s="32" t="inlineStr">
        <is>
          <t>yangi shot</t>
        </is>
      </c>
      <c r="C128" t="inlineStr">
        <is>
          <t>Транзитный счет для разовых платежей               200542744</t>
        </is>
      </c>
      <c r="D128" t="inlineStr">
        <is>
          <t>10632723</t>
        </is>
      </c>
      <c r="E128" t="inlineStr">
        <is>
          <t>06</t>
        </is>
      </c>
      <c r="F128" t="inlineStr">
        <is>
          <t>01048</t>
        </is>
      </c>
      <c r="G128" t="n">
        <v>1700000</v>
      </c>
      <c r="H128" t="inlineStr">
        <is>
          <t>0065502.09.2026 № 26/27 SH/A 254 ga asosan SANAQULOVA MUXTARAMA XUQOYQULOVNA(AD8686485) ning kontrakt tulovi uchun от SANAQULOVA MUXTARAMA</t>
        </is>
      </c>
      <c r="I128" s="12" t="inlineStr">
        <is>
          <t>Sanaqulova Muxtarama Xuqoyqulovna</t>
        </is>
      </c>
      <c r="J128" t="inlineStr">
        <is>
          <t>26/27 Sh/A 254</t>
        </is>
      </c>
    </row>
    <row r="129">
      <c r="A129" s="29" t="n">
        <v>46283</v>
      </c>
      <c r="B129" s="32" t="inlineStr">
        <is>
          <t>yangi shot</t>
        </is>
      </c>
      <c r="C129" t="inlineStr">
        <is>
          <t>Чакана амалиётлар кассаси БХМ "Ок Сарой"           200542744</t>
        </is>
      </c>
      <c r="D129" t="inlineStr">
        <is>
          <t>10656588</t>
        </is>
      </c>
      <c r="E129" t="inlineStr">
        <is>
          <t>93</t>
        </is>
      </c>
      <c r="F129" t="inlineStr">
        <is>
          <t>01048</t>
        </is>
      </c>
      <c r="G129" t="n">
        <v>700000</v>
      </c>
      <c r="H129" t="inlineStr">
        <is>
          <t>001416,09,2026 йил шартнома № 310 га асосан Давлатова Гулноза Хусан кизини укиш контракт тулови от Давлатова Гулноза Хусан кизи</t>
        </is>
      </c>
      <c r="I129" t="inlineStr">
        <is>
          <t>Davlatova Gulnoza Xusan qizi</t>
        </is>
      </c>
      <c r="J129" t="inlineStr">
        <is>
          <t>№ 310</t>
        </is>
      </c>
    </row>
    <row r="130">
      <c r="A130" s="29" t="n">
        <v>46283</v>
      </c>
      <c r="B130" s="32" t="inlineStr">
        <is>
          <t>yangi shot</t>
        </is>
      </c>
      <c r="C130" t="inlineStr">
        <is>
          <t>Чакана амалиётлар кассаси БХМ "Ок Сарой"           200542744</t>
        </is>
      </c>
      <c r="D130" t="inlineStr">
        <is>
          <t>10663437</t>
        </is>
      </c>
      <c r="E130" t="inlineStr">
        <is>
          <t>93</t>
        </is>
      </c>
      <c r="F130" t="inlineStr">
        <is>
          <t>01048</t>
        </is>
      </c>
      <c r="G130" t="n">
        <v>1000000</v>
      </c>
      <c r="H130" t="inlineStr">
        <is>
          <t>001415,09,2026 йил шартнома № 307 га асосан Холмуродова Дилнура Дилмурод кизини укиш контракт тулови от Холмуродова Дилнура</t>
        </is>
      </c>
      <c r="I130" t="inlineStr">
        <is>
          <t>Xolmurodova Dilnura Dilmurod qizi</t>
        </is>
      </c>
      <c r="J130" t="inlineStr">
        <is>
          <t>№ 307</t>
        </is>
      </c>
    </row>
    <row r="131">
      <c r="A131" s="29" t="n">
        <v>46283</v>
      </c>
      <c r="B131" s="32" t="inlineStr">
        <is>
          <t>yangi shot</t>
        </is>
      </c>
      <c r="C131" t="inlineStr">
        <is>
          <t>Чакана амалиётлар кассаси БХМ "Ок Сарой"           200542744</t>
        </is>
      </c>
      <c r="D131" t="inlineStr">
        <is>
          <t>10656432</t>
        </is>
      </c>
      <c r="E131" t="inlineStr">
        <is>
          <t>93</t>
        </is>
      </c>
      <c r="F131" t="inlineStr">
        <is>
          <t>01048</t>
        </is>
      </c>
      <c r="G131" t="n">
        <v>1700000</v>
      </c>
      <c r="H131" t="inlineStr">
        <is>
          <t>001414,09,2026 йил шартнома № 304 га асосан Ниёзова Севара Туракуловнани укиш контракт тулови от Ниёзова Севара</t>
        </is>
      </c>
      <c r="I131" t="inlineStr">
        <is>
          <t>Niyozova Sevara Turakulovna</t>
        </is>
      </c>
      <c r="J131" t="inlineStr">
        <is>
          <t>№ 304</t>
        </is>
      </c>
    </row>
    <row r="132">
      <c r="A132" s="29" t="n">
        <v>46283</v>
      </c>
      <c r="B132" s="32" t="inlineStr">
        <is>
          <t>yangi shot</t>
        </is>
      </c>
      <c r="C132" t="inlineStr">
        <is>
          <t>Чакана амалиётлар кассаси БХМ "Ок Сарой"           200542744</t>
        </is>
      </c>
      <c r="D132" t="inlineStr">
        <is>
          <t>10663473</t>
        </is>
      </c>
      <c r="E132" t="inlineStr">
        <is>
          <t>93</t>
        </is>
      </c>
      <c r="F132" t="inlineStr">
        <is>
          <t>01048</t>
        </is>
      </c>
      <c r="G132" t="n">
        <v>1000000</v>
      </c>
      <c r="H132" t="inlineStr">
        <is>
          <t>0014шартномага асосан Суярова Динора Содик кизини укиш контракт тулови от Суярова Динора</t>
        </is>
      </c>
      <c r="I132" t="inlineStr">
        <is>
          <t>Suyarova Dinora Sodik qizi</t>
        </is>
      </c>
      <c r="J132" t="inlineStr"/>
    </row>
    <row r="133">
      <c r="A133" s="29" t="n">
        <v>46283</v>
      </c>
      <c r="B133" s="32" t="inlineStr">
        <is>
          <t>yangi shot</t>
        </is>
      </c>
      <c r="C133" t="inlineStr">
        <is>
          <t>Чакана амалиётлар кассаси БХМ "Ок Сарой"           200542744</t>
        </is>
      </c>
      <c r="D133" t="inlineStr">
        <is>
          <t>10657082</t>
        </is>
      </c>
      <c r="E133" t="inlineStr">
        <is>
          <t>93</t>
        </is>
      </c>
      <c r="F133" t="inlineStr">
        <is>
          <t>01048</t>
        </is>
      </c>
      <c r="G133" t="n">
        <v>1700000</v>
      </c>
      <c r="H133" t="inlineStr">
        <is>
          <t>001409,09,2026 йил шартнома № 47 га асосан Ортикова Дилноза Зокир кизини укиш контракт тулови от Ортикова Дилноза</t>
        </is>
      </c>
      <c r="I133" t="inlineStr">
        <is>
          <t>Ortikova Dilnoza Zokir qizi</t>
        </is>
      </c>
      <c r="J133" t="inlineStr">
        <is>
          <t>№ 47</t>
        </is>
      </c>
    </row>
    <row r="134">
      <c r="A134" s="29" t="n">
        <v>46283</v>
      </c>
      <c r="B134" s="32" t="inlineStr">
        <is>
          <t>yangi shot</t>
        </is>
      </c>
      <c r="C134" t="inlineStr">
        <is>
          <t>Х.БУХОРИЙ МАДРАСА HOJA BUHORIY URTA MAHSUS ISLOM BI201840784</t>
        </is>
      </c>
      <c r="D134" t="inlineStr">
        <is>
          <t>0000000258</t>
        </is>
      </c>
      <c r="E134" t="inlineStr">
        <is>
          <t>21</t>
        </is>
      </c>
      <c r="F134" t="inlineStr">
        <is>
          <t>00401</t>
        </is>
      </c>
      <c r="G134" t="n">
        <v>4500000</v>
      </c>
      <c r="H134" t="inlineStr">
        <is>
          <t>00111П/О, XAYRULLAYEVA SEVINCH TOHIROVNANING O`QUV SHARTNOMA TO`LOVI SAMIYEV RAXMON NIZOMOVICHNING ISH HAQI HISOBIDAN O`TKAZILMOQDA.. (№258, ОБЩ. СУММА 4500000 UZS, ОТ 18.09.2026Г.)</t>
        </is>
      </c>
      <c r="I134" s="12" t="inlineStr">
        <is>
          <t>Xayrullayeva Sevinch Tohirovna</t>
        </is>
      </c>
      <c r="J134" t="inlineStr">
        <is>
          <t>№ 258</t>
        </is>
      </c>
    </row>
    <row r="135">
      <c r="A135" s="29" t="n">
        <v>46283</v>
      </c>
      <c r="B135" s="32" t="inlineStr">
        <is>
          <t>yangi shot</t>
        </is>
      </c>
      <c r="C135" t="inlineStr">
        <is>
          <t>Оксарой ЭЦ т/счет по безнал.переводом с ПК HUMO (1 200542744</t>
        </is>
      </c>
      <c r="D135" t="inlineStr">
        <is>
          <t>10656702</t>
        </is>
      </c>
      <c r="E135" t="inlineStr">
        <is>
          <t>06</t>
        </is>
      </c>
      <c r="F135" t="inlineStr">
        <is>
          <t>01048</t>
        </is>
      </c>
      <c r="G135" t="n">
        <v>1000000</v>
      </c>
      <c r="H135" t="inlineStr">
        <is>
          <t>0066716,09,2026 йил шартнома № 310 га асосан Давлатова Гулноза Хусан кизини укиш контракт тулови от Давлатова Гулноза Хусан кизи</t>
        </is>
      </c>
      <c r="I135" t="inlineStr">
        <is>
          <t>Davlatova Gulnoza Xusan qizi</t>
        </is>
      </c>
      <c r="J135" t="inlineStr">
        <is>
          <t>№ 310</t>
        </is>
      </c>
    </row>
    <row r="136">
      <c r="A136" s="29" t="n">
        <v>46283</v>
      </c>
      <c r="B136" s="32" t="inlineStr">
        <is>
          <t>yangi shot</t>
        </is>
      </c>
      <c r="C136" t="inlineStr">
        <is>
          <t>Karimova Shahina Fayzullo qizi                     200829053</t>
        </is>
      </c>
      <c r="D136" t="inlineStr">
        <is>
          <t>0000000019</t>
        </is>
      </c>
      <c r="E136" t="inlineStr">
        <is>
          <t>06</t>
        </is>
      </c>
      <c r="F136" t="inlineStr">
        <is>
          <t>00401</t>
        </is>
      </c>
      <c r="G136" t="n">
        <v>1700000</v>
      </c>
      <c r="H136" t="inlineStr">
        <is>
          <t>00111KARIMOVA SHAHINA FAYZULLO QIZINING KONTRAKT TO`LOVI (AC0413538) Karimova Shahina Fayzullo qizi</t>
        </is>
      </c>
      <c r="I136" s="12" t="inlineStr">
        <is>
          <t>Karimova Shahina Fayzullo qizi</t>
        </is>
      </c>
      <c r="J136" t="inlineStr"/>
    </row>
    <row r="137">
      <c r="A137" s="29" t="n">
        <v>46283</v>
      </c>
      <c r="B137" s="32" t="inlineStr">
        <is>
          <t>yangi shot</t>
        </is>
      </c>
      <c r="C137" t="inlineStr">
        <is>
          <t>Транзитный счет для разовых платежей               200542744</t>
        </is>
      </c>
      <c r="D137" t="inlineStr">
        <is>
          <t>10655106</t>
        </is>
      </c>
      <c r="E137" t="inlineStr">
        <is>
          <t>06</t>
        </is>
      </c>
      <c r="F137" t="inlineStr">
        <is>
          <t>01048</t>
        </is>
      </c>
      <c r="G137" t="n">
        <v>1700000</v>
      </c>
      <c r="H137" t="inlineStr">
        <is>
          <t>00655№26/27 SH/A сонли шартномага асосан контракт тулови учун утказилди от Эшонкулова Зарина Гулом кизи</t>
        </is>
      </c>
      <c r="I137" s="12" t="inlineStr">
        <is>
          <t>Eshonkulova Zarina Gulom qizi</t>
        </is>
      </c>
      <c r="J137" t="inlineStr"/>
    </row>
    <row r="138">
      <c r="A138" s="29" t="n">
        <v>46283</v>
      </c>
      <c r="B138" s="32" t="inlineStr">
        <is>
          <t>yangi shot</t>
        </is>
      </c>
      <c r="C138" t="inlineStr">
        <is>
          <t>Накд пулда бир мартталик туловлар буйича хисоб кит 207215726</t>
        </is>
      </c>
      <c r="D138" t="inlineStr">
        <is>
          <t>375078688</t>
        </is>
      </c>
      <c r="E138" t="inlineStr">
        <is>
          <t>21</t>
        </is>
      </c>
      <c r="F138" t="inlineStr">
        <is>
          <t>01125</t>
        </is>
      </c>
      <c r="G138" t="n">
        <v>1177000</v>
      </c>
      <c r="H138" t="inlineStr">
        <is>
          <t>00995RO'ZIMURODOVA LARISA MAXMADALI QIZI SHARTNOMAGA ASOSAN KANTRAKT TULOVI UCHUN</t>
        </is>
      </c>
      <c r="I138" s="12" t="inlineStr">
        <is>
          <t>Ro'zimurodova Larisa Maxmadali qizi</t>
        </is>
      </c>
      <c r="J138" t="inlineStr"/>
    </row>
    <row r="139">
      <c r="A139" s="4" t="n">
        <v>46283</v>
      </c>
      <c r="B139" s="32" t="inlineStr">
        <is>
          <t>yangi shot</t>
        </is>
      </c>
      <c r="C139" t="inlineStr">
        <is>
          <t>Транзитный счет для разовых платежей               200542744</t>
        </is>
      </c>
      <c r="D139" t="inlineStr">
        <is>
          <t>10651205</t>
        </is>
      </c>
      <c r="E139" t="inlineStr">
        <is>
          <t>06</t>
        </is>
      </c>
      <c r="F139" t="inlineStr">
        <is>
          <t>01048</t>
        </is>
      </c>
      <c r="G139" t="n">
        <v>1700000</v>
      </c>
      <c r="H139" t="inlineStr">
        <is>
          <t>0065508,09,2026 й №26/27 Sh/A 291 шартномага асосан RAYIMOVA NOZLIYA LAZIZ QIZI(AE4759683)нинг контракт тулови от Сувонова Дилноза</t>
        </is>
      </c>
      <c r="I139" t="inlineStr">
        <is>
          <t>Rayimova Nozliya Laziz qizi</t>
        </is>
      </c>
      <c r="J139" t="inlineStr">
        <is>
          <t>26/27 Sh/A 291</t>
        </is>
      </c>
    </row>
    <row r="140">
      <c r="A140" s="29" t="n">
        <v>46283</v>
      </c>
      <c r="B140" s="32" t="inlineStr">
        <is>
          <t>yangi shot</t>
        </is>
      </c>
      <c r="C140" t="inlineStr">
        <is>
          <t>Naqd pul mablag`i bo`yicha jismoniy shaxslarning ma203556638</t>
        </is>
      </c>
      <c r="D140" t="inlineStr">
        <is>
          <t>0006850057</t>
        </is>
      </c>
      <c r="E140" t="inlineStr">
        <is>
          <t>06</t>
        </is>
      </c>
      <c r="F140" t="inlineStr">
        <is>
          <t>00973</t>
        </is>
      </c>
      <c r="G140" t="n">
        <v>1700000</v>
      </c>
      <c r="H140" t="inlineStr">
        <is>
          <t>00099Турсунов Сохибжон Хаким угли томонидан шартномага асосан кнатрк тулови</t>
        </is>
      </c>
      <c r="I140" s="12" t="inlineStr">
        <is>
          <t>Tursunov Soxibjon Xakim o'g'li</t>
        </is>
      </c>
      <c r="J140" t="inlineStr"/>
    </row>
    <row r="141">
      <c r="A141" s="29" t="n">
        <v>46283</v>
      </c>
      <c r="B141" s="32" t="inlineStr">
        <is>
          <t>yangi shot</t>
        </is>
      </c>
      <c r="C141" t="inlineStr">
        <is>
          <t>Naqd pul mablag`i bo`yicha jismoniy shaxslarning ma203556638</t>
        </is>
      </c>
      <c r="D141" t="inlineStr">
        <is>
          <t>0006850126</t>
        </is>
      </c>
      <c r="E141" t="inlineStr">
        <is>
          <t>06</t>
        </is>
      </c>
      <c r="F141" t="inlineStr">
        <is>
          <t>00973</t>
        </is>
      </c>
      <c r="G141" t="n">
        <v>1700000</v>
      </c>
      <c r="H141" t="inlineStr">
        <is>
          <t>00099Турсунова Зухра Косим кизи томонидан шартномага асосан кантрак тулови</t>
        </is>
      </c>
      <c r="I141" s="12" t="inlineStr">
        <is>
          <t>Tursunova Zuxra Kosim qizi</t>
        </is>
      </c>
      <c r="J141" t="inlineStr"/>
    </row>
    <row r="142">
      <c r="A142" s="29" t="n">
        <v>46283</v>
      </c>
      <c r="B142" s="32" t="inlineStr">
        <is>
          <t>yangi shot</t>
        </is>
      </c>
      <c r="C142" t="inlineStr">
        <is>
          <t>Naqd pul mablag`i bo`yicha jismoniy shaxslarning ma203556638</t>
        </is>
      </c>
      <c r="D142" t="inlineStr">
        <is>
          <t>0006850195</t>
        </is>
      </c>
      <c r="E142" t="inlineStr">
        <is>
          <t>06</t>
        </is>
      </c>
      <c r="F142" t="inlineStr">
        <is>
          <t>00973</t>
        </is>
      </c>
      <c r="G142" t="n">
        <v>1700000</v>
      </c>
      <c r="H142" t="inlineStr">
        <is>
          <t>00099Турсунова Фотима Косим кизи томонидан шартномага асосан кантрак т улови</t>
        </is>
      </c>
      <c r="I142" t="inlineStr">
        <is>
          <t>Tursunova Fotima Kosim qizi</t>
        </is>
      </c>
      <c r="J142" t="inlineStr"/>
    </row>
    <row r="143">
      <c r="A143" s="29" t="n">
        <v>46286</v>
      </c>
      <c r="B143" s="32" t="inlineStr">
        <is>
          <t>yangi shot</t>
        </is>
      </c>
      <c r="C143" t="inlineStr">
        <is>
          <t>Чакана амалиётлар кассаси  ЭЦ Янги Кеш             200542744</t>
        </is>
      </c>
      <c r="D143" t="inlineStr">
        <is>
          <t>10705969</t>
        </is>
      </c>
      <c r="E143" t="inlineStr">
        <is>
          <t>93</t>
        </is>
      </c>
      <c r="F143" t="inlineStr">
        <is>
          <t>01048</t>
        </is>
      </c>
      <c r="G143" t="n">
        <v>4000000</v>
      </c>
      <c r="H143" t="inlineStr">
        <is>
          <t>001419.09.2026 йил №26/27 Sh/А313 шартномага асосан 1-курс талабаси Улугбекова Заранинг укиши учун тулов от ULUGBEKOVA ZARA</t>
        </is>
      </c>
      <c r="I143" s="12" t="inlineStr">
        <is>
          <t>Ulugbekova Zara</t>
        </is>
      </c>
      <c r="J143" t="inlineStr">
        <is>
          <t>26/27 Sh/A 313</t>
        </is>
      </c>
    </row>
    <row r="144">
      <c r="A144" s="29" t="n">
        <v>46286</v>
      </c>
      <c r="B144" s="32" t="inlineStr">
        <is>
          <t>yangi shot</t>
        </is>
      </c>
      <c r="C144" t="inlineStr">
        <is>
          <t>Чакана амалиётлар кассаси БХМ "Ок Сарой"           200542744</t>
        </is>
      </c>
      <c r="D144" t="inlineStr">
        <is>
          <t>10718025</t>
        </is>
      </c>
      <c r="E144" t="inlineStr">
        <is>
          <t>93</t>
        </is>
      </c>
      <c r="F144" t="inlineStr">
        <is>
          <t>01048</t>
        </is>
      </c>
      <c r="G144" t="n">
        <v>1300000</v>
      </c>
      <c r="H144" t="inlineStr">
        <is>
          <t>001415,07,2026 йил шартнома № 59 га асосан Жумаева Мухлиса Комилжон кизини укиш контракт тулови от Жумаева Мухлиса</t>
        </is>
      </c>
      <c r="I144" t="inlineStr">
        <is>
          <t>Jumaeva Muxlisa Komiljon qizi</t>
        </is>
      </c>
      <c r="J144" t="inlineStr">
        <is>
          <t>№ 59</t>
        </is>
      </c>
    </row>
    <row r="145">
      <c r="A145" s="29" t="n">
        <v>46286</v>
      </c>
      <c r="B145" s="32" t="inlineStr">
        <is>
          <t>yangi shot</t>
        </is>
      </c>
      <c r="C145" t="inlineStr">
        <is>
          <t>Транзитный счет для разовых платежей               200542744</t>
        </is>
      </c>
      <c r="D145" t="inlineStr">
        <is>
          <t>10704785</t>
        </is>
      </c>
      <c r="E145" t="inlineStr">
        <is>
          <t>06</t>
        </is>
      </c>
      <c r="F145" t="inlineStr">
        <is>
          <t>01048</t>
        </is>
      </c>
      <c r="G145" t="n">
        <v>1700000</v>
      </c>
      <c r="H145" t="inlineStr">
        <is>
          <t>0065515.09.2026йилдаги ШАРТНОМА №26/27 Sh/A11 га асосан 1-курс талабаси Махмудова Мусаллам Камариддин кизи(AE5297116)нинг укиш тулови учун от Зайниева Муътабар</t>
        </is>
      </c>
      <c r="I145" t="inlineStr">
        <is>
          <t>Maxmudova Musallam Kamariddin qizi</t>
        </is>
      </c>
      <c r="J145" t="inlineStr">
        <is>
          <t>26/27 Sh/A 11</t>
        </is>
      </c>
    </row>
    <row r="146">
      <c r="A146" s="29" t="n">
        <v>46286</v>
      </c>
      <c r="B146" s="32" t="inlineStr">
        <is>
          <t>yangi shot</t>
        </is>
      </c>
      <c r="C146" t="inlineStr">
        <is>
          <t>Транзитный счет для разовых платежей               200542744</t>
        </is>
      </c>
      <c r="D146" t="inlineStr">
        <is>
          <t>10697530</t>
        </is>
      </c>
      <c r="E146" t="inlineStr">
        <is>
          <t>06</t>
        </is>
      </c>
      <c r="F146" t="inlineStr">
        <is>
          <t>01048</t>
        </is>
      </c>
      <c r="G146" t="n">
        <v>1700000</v>
      </c>
      <c r="H146" t="inlineStr">
        <is>
          <t>0065514.09.2026й даги Шартнома №26/27 Sh/A 302 га асосан 1-курс талабаси Хужакулова Навбахор Азим кизи (AD4186543)нинг укиш тулови учун от Рузикулов А</t>
        </is>
      </c>
      <c r="I146" s="12" t="inlineStr">
        <is>
          <t>Xujakulova Navbaxor Azim qizi</t>
        </is>
      </c>
      <c r="J146" t="inlineStr">
        <is>
          <t>26/27 Sh/A 302</t>
        </is>
      </c>
    </row>
    <row r="147">
      <c r="A147" s="29" t="n">
        <v>46286</v>
      </c>
      <c r="B147" s="32" t="inlineStr">
        <is>
          <t>yangi shot</t>
        </is>
      </c>
      <c r="C147" t="inlineStr">
        <is>
          <t>Транзитный счет по безнал.переводом с ПК HUMO (Фил 200542744</t>
        </is>
      </c>
      <c r="D147" t="inlineStr">
        <is>
          <t>10716591</t>
        </is>
      </c>
      <c r="E147" t="inlineStr">
        <is>
          <t>06</t>
        </is>
      </c>
      <c r="F147" t="inlineStr">
        <is>
          <t>01048</t>
        </is>
      </c>
      <c r="G147" t="n">
        <v>275000</v>
      </c>
      <c r="H147" t="inlineStr">
        <is>
          <t>00655ESHBOBOYEVA FOTIMA NURALI QIZI SHARTNOMA №26/27 SH/А 45 08,06,2026 YILGA ASOSAN O'QISH UCHUN TO'LOV от ESHBOBOYEVA FOTIMA NURALI QIZI</t>
        </is>
      </c>
      <c r="I147" s="12" t="inlineStr">
        <is>
          <t>Eshboboyeva Fotima Nurali qizi</t>
        </is>
      </c>
      <c r="J147" t="inlineStr">
        <is>
          <t>26/27 Sh/A 45</t>
        </is>
      </c>
    </row>
    <row r="148">
      <c r="A148" s="29" t="n">
        <v>46286</v>
      </c>
      <c r="B148" s="32" t="inlineStr">
        <is>
          <t>yangi shot</t>
        </is>
      </c>
      <c r="C148" t="inlineStr">
        <is>
          <t>Транзитный счет для разовых платежей               200542744</t>
        </is>
      </c>
      <c r="D148" t="inlineStr">
        <is>
          <t>10724628</t>
        </is>
      </c>
      <c r="E148" t="inlineStr">
        <is>
          <t>06</t>
        </is>
      </c>
      <c r="F148" t="inlineStr">
        <is>
          <t>01048</t>
        </is>
      </c>
      <c r="G148" t="n">
        <v>1200000</v>
      </c>
      <c r="H148" t="inlineStr">
        <is>
          <t>00655SHARIPOVA DIYORA SHARTNOMA №26/27 SH/А 57 13,07,2026 YILGA ASOSAN O'QISH UCHUN TO'LOV от SHARIPOVA DIYORA</t>
        </is>
      </c>
      <c r="I148" s="12" t="inlineStr">
        <is>
          <t>Sharipova Diyora</t>
        </is>
      </c>
      <c r="J148" t="inlineStr">
        <is>
          <t>26/27 Sh/A 57</t>
        </is>
      </c>
    </row>
    <row r="149">
      <c r="A149" s="29" t="n">
        <v>46286</v>
      </c>
      <c r="B149" s="32" t="inlineStr">
        <is>
          <t>yangi shot</t>
        </is>
      </c>
      <c r="C149" t="inlineStr">
        <is>
          <t>Транзитный счет для разовых платежей               200542744</t>
        </is>
      </c>
      <c r="D149" t="inlineStr">
        <is>
          <t>10717841</t>
        </is>
      </c>
      <c r="E149" t="inlineStr">
        <is>
          <t>06</t>
        </is>
      </c>
      <c r="F149" t="inlineStr">
        <is>
          <t>01048</t>
        </is>
      </c>
      <c r="G149" t="n">
        <v>1800000</v>
      </c>
      <c r="H149" t="inlineStr">
        <is>
          <t>00667№26/27 SH/A-284-сонли шартномага асосан Набиева Зебинисонинг контракт тулови учун от Мардоналиев Абдухалил</t>
        </is>
      </c>
      <c r="I149" s="12" t="inlineStr">
        <is>
          <t>Nabieva Zebiniso</t>
        </is>
      </c>
      <c r="J149" t="inlineStr">
        <is>
          <t>26/27 Sh/A 284</t>
        </is>
      </c>
    </row>
    <row r="150">
      <c r="A150" s="29" t="n">
        <v>46286</v>
      </c>
      <c r="B150" s="32" t="inlineStr">
        <is>
          <t>yangi shot</t>
        </is>
      </c>
      <c r="C150" t="inlineStr">
        <is>
          <t>Ёшлар ишлари агентлиги Кашкадарё вилоят бошкармаси 207324757</t>
        </is>
      </c>
      <c r="D150" t="inlineStr">
        <is>
          <t>3232301508</t>
        </is>
      </c>
      <c r="E150" t="inlineStr">
        <is>
          <t>01</t>
        </is>
      </c>
      <c r="F150" t="inlineStr">
        <is>
          <t>00014</t>
        </is>
      </c>
      <c r="G150" t="n">
        <v>3000000</v>
      </c>
      <c r="H150" t="inlineStr">
        <is>
          <t>00602401021860104017049996225002~207324757~Ёшлар ишлари агентлиги Кашкадарё вилоят бошкармаси~№304 от 21.09.2026  сонли юридик мажбуриятга асосан 2026 йил 13 август 328-4-0-Q/26-сонли O?ZBEKISTON RESPUBLIKASI QASHQADARYO VILOYATI HOKIMINING QARORIга асосан "Ёшларга оид давлат сиёсатини кулллаб-кувватлаш жамгармаси" маблаглари хисобидан Кенжаева Севинч Уткир кизи  25.02.2026 й  №T07822510936779-сонли контракт тулови утказилди.; Ст.  48.21190-3000000.00</t>
        </is>
      </c>
      <c r="I150" s="12" t="inlineStr">
        <is>
          <t>Kenjaeva Sevinch Utkir qizi</t>
        </is>
      </c>
      <c r="J150" t="inlineStr">
        <is>
          <t>T07822510936779</t>
        </is>
      </c>
    </row>
    <row r="151">
      <c r="A151" s="29" t="n">
        <v>46286</v>
      </c>
      <c r="B151" s="32" t="inlineStr">
        <is>
          <t>yangi shot</t>
        </is>
      </c>
      <c r="C151" t="inlineStr">
        <is>
          <t>Накд пулда бир мартталик туловлар буйича хисоб кит 207215726</t>
        </is>
      </c>
      <c r="D151" t="inlineStr">
        <is>
          <t>375169138</t>
        </is>
      </c>
      <c r="E151" t="inlineStr">
        <is>
          <t>21</t>
        </is>
      </c>
      <c r="F151" t="inlineStr">
        <is>
          <t>01125</t>
        </is>
      </c>
      <c r="G151" t="n">
        <v>1700000</v>
      </c>
      <c r="H151" t="inlineStr">
        <is>
          <t>00995Ixtiyorova Nigina Xolovna Kontrakt tulovi</t>
        </is>
      </c>
      <c r="I151" s="12" t="inlineStr">
        <is>
          <t>Ixtiyorova Nigina Xolovna</t>
        </is>
      </c>
      <c r="J151" t="inlineStr"/>
    </row>
    <row r="152">
      <c r="A152" s="29" t="n">
        <v>46286</v>
      </c>
      <c r="B152" s="32" t="inlineStr">
        <is>
          <t>yangi shot</t>
        </is>
      </c>
      <c r="C152" t="inlineStr">
        <is>
          <t>Транзитный счет для разовых платежей               200542744</t>
        </is>
      </c>
      <c r="D152" t="inlineStr">
        <is>
          <t>10704741</t>
        </is>
      </c>
      <c r="E152" t="inlineStr">
        <is>
          <t>06</t>
        </is>
      </c>
      <c r="F152" t="inlineStr">
        <is>
          <t>01048</t>
        </is>
      </c>
      <c r="G152" t="n">
        <v>1300000</v>
      </c>
      <c r="H152" t="inlineStr">
        <is>
          <t>0065507.09.2026 й Шартнома№26/27 sh/a 275 га асосан талаба HAMROQULOVA MARJONA UKTAM QIZIнинг 50910203- хамширалик учун контракт тулови утказилди от AXADOV XUDOYMUROD</t>
        </is>
      </c>
      <c r="I152" t="inlineStr">
        <is>
          <t>Hamroqulova Marjona Uktam qizi</t>
        </is>
      </c>
      <c r="J152" t="inlineStr">
        <is>
          <t>26/27 Sh/A 275</t>
        </is>
      </c>
    </row>
    <row r="153">
      <c r="A153" s="29" t="n">
        <v>46287</v>
      </c>
      <c r="B153" s="32" t="inlineStr">
        <is>
          <t>yangi shot</t>
        </is>
      </c>
      <c r="C153" t="inlineStr">
        <is>
          <t>Чакана амалиётлар кассаси  ЭЦ Янги Кеш             200542744</t>
        </is>
      </c>
      <c r="D153" t="inlineStr">
        <is>
          <t>10738426</t>
        </is>
      </c>
      <c r="E153" t="inlineStr">
        <is>
          <t>93</t>
        </is>
      </c>
      <c r="F153" t="inlineStr">
        <is>
          <t>01048</t>
        </is>
      </c>
      <c r="G153" t="n">
        <v>2000000</v>
      </c>
      <c r="H153" t="inlineStr">
        <is>
          <t>001425.06.2026 йил №26/27 Sh/A 17 шартномага асосан 1-курс талабаси Жалилова Шабнам Фозилжон кизининг укиши учун тулов от ABDIYEVA NAVBAHOR</t>
        </is>
      </c>
      <c r="I153" s="12" t="inlineStr">
        <is>
          <t>Jalilova Shabnam Foziljon qizi</t>
        </is>
      </c>
      <c r="J153" t="inlineStr">
        <is>
          <t>26/27 Sh/A 17</t>
        </is>
      </c>
    </row>
    <row r="154">
      <c r="A154" s="29" t="n">
        <v>46287</v>
      </c>
      <c r="B154" s="32" t="inlineStr">
        <is>
          <t>yangi shot</t>
        </is>
      </c>
      <c r="C154" t="inlineStr">
        <is>
          <t>Чакана амалиётлар кассаси БХМ "Ок Сарой"           200542744</t>
        </is>
      </c>
      <c r="D154" t="inlineStr">
        <is>
          <t>10735392</t>
        </is>
      </c>
      <c r="E154" t="inlineStr">
        <is>
          <t>93</t>
        </is>
      </c>
      <c r="F154" t="inlineStr">
        <is>
          <t>01048</t>
        </is>
      </c>
      <c r="G154" t="n">
        <v>1000000</v>
      </c>
      <c r="H154" t="inlineStr">
        <is>
          <t>001412,08,2026 йил шартнома № 176 га асосан Мухторова Хадича Зухриддин кизини укиш контракт тулови от Эгамбердиева Орзигул</t>
        </is>
      </c>
      <c r="I154" s="12" t="inlineStr">
        <is>
          <t>Muxtorova Xadicha Zuxriddin qizi</t>
        </is>
      </c>
      <c r="J154" t="inlineStr">
        <is>
          <t>№ 176</t>
        </is>
      </c>
    </row>
    <row r="155">
      <c r="A155" s="29" t="n">
        <v>46287</v>
      </c>
      <c r="B155" s="32" t="inlineStr">
        <is>
          <t>yangi shot</t>
        </is>
      </c>
      <c r="C155" t="inlineStr">
        <is>
          <t>Транзитный счет для разовых платежей               200542744</t>
        </is>
      </c>
      <c r="D155" t="inlineStr">
        <is>
          <t>10746528</t>
        </is>
      </c>
      <c r="E155" t="inlineStr">
        <is>
          <t>06</t>
        </is>
      </c>
      <c r="F155" t="inlineStr">
        <is>
          <t>01048</t>
        </is>
      </c>
      <c r="G155" t="n">
        <v>500000</v>
      </c>
      <c r="H155" t="inlineStr">
        <is>
          <t>0066723072026 йилдаги №26/27sh/a 89 сонли шартномага асосан контракт тулови учун утказилди от Шогдорова Маржона</t>
        </is>
      </c>
      <c r="I155" s="12" t="inlineStr">
        <is>
          <t>026 Yildagi</t>
        </is>
      </c>
      <c r="J155" t="inlineStr">
        <is>
          <t>26/27 Sh/A 89</t>
        </is>
      </c>
    </row>
    <row r="156">
      <c r="A156" s="29" t="n">
        <v>46287</v>
      </c>
      <c r="B156" s="32" t="inlineStr">
        <is>
          <t>yangi shot</t>
        </is>
      </c>
      <c r="C156" t="inlineStr">
        <is>
          <t>Транзитный счет для разовых платежей               200542744</t>
        </is>
      </c>
      <c r="D156" t="inlineStr">
        <is>
          <t>10746661</t>
        </is>
      </c>
      <c r="E156" t="inlineStr">
        <is>
          <t>06</t>
        </is>
      </c>
      <c r="F156" t="inlineStr">
        <is>
          <t>01048</t>
        </is>
      </c>
      <c r="G156" t="n">
        <v>1700000</v>
      </c>
      <c r="H156" t="inlineStr">
        <is>
          <t>0066711.09.2026 йилдаги №26/27 SH/A 301-сонли шартномага асосан Мансурова Гуласал Мусурмон кизининг контракт тулови учун от Юсупова Салима</t>
        </is>
      </c>
      <c r="I156" s="12" t="inlineStr">
        <is>
          <t>Mansurova Gulasal Musurmon qizi</t>
        </is>
      </c>
      <c r="J156" t="inlineStr">
        <is>
          <t>26/27 Sh/A 301</t>
        </is>
      </c>
    </row>
    <row r="157">
      <c r="A157" s="29" t="n">
        <v>46287</v>
      </c>
      <c r="B157" s="32" t="inlineStr">
        <is>
          <t>yangi shot</t>
        </is>
      </c>
      <c r="C157" t="inlineStr">
        <is>
          <t>Транзитный счет для разовых платежей               200542744</t>
        </is>
      </c>
      <c r="D157" t="inlineStr">
        <is>
          <t>10730671</t>
        </is>
      </c>
      <c r="E157" t="inlineStr">
        <is>
          <t>06</t>
        </is>
      </c>
      <c r="F157" t="inlineStr">
        <is>
          <t>01048</t>
        </is>
      </c>
      <c r="G157" t="n">
        <v>4708000</v>
      </c>
      <c r="H157" t="inlineStr">
        <is>
          <t>00655Eshquvatova Yulduz Asliddin qizi O'qishi uchun to'lovi от Eshquvatova Yulduz</t>
        </is>
      </c>
      <c r="I157" s="12" t="inlineStr">
        <is>
          <t>Eshquvatova Yulduz Asliddin qizi</t>
        </is>
      </c>
      <c r="J157" t="inlineStr"/>
    </row>
    <row r="158">
      <c r="A158" s="29" t="n">
        <v>46287</v>
      </c>
      <c r="B158" s="32" t="inlineStr">
        <is>
          <t>yangi shot</t>
        </is>
      </c>
      <c r="C158" t="inlineStr">
        <is>
          <t>Naqd pul mablag`i bo`yicha jismoniy shaxslarning ma203556638</t>
        </is>
      </c>
      <c r="D158" t="inlineStr">
        <is>
          <t>0006863473</t>
        </is>
      </c>
      <c r="E158" t="inlineStr">
        <is>
          <t>06</t>
        </is>
      </c>
      <c r="F158" t="inlineStr">
        <is>
          <t>00973</t>
        </is>
      </c>
      <c r="G158" t="n">
        <v>1000000</v>
      </c>
      <c r="H158" t="inlineStr">
        <is>
          <t>00099Ниезова Комила Тошпулатовна томонидан Шартномага асосан контракт тулови.</t>
        </is>
      </c>
      <c r="I158" s="12" t="inlineStr">
        <is>
          <t>Niezova Komila Toshpulatovna</t>
        </is>
      </c>
      <c r="J158" t="inlineStr"/>
    </row>
    <row r="159">
      <c r="A159" s="29" t="n">
        <v>46287</v>
      </c>
      <c r="B159" s="32" t="inlineStr">
        <is>
          <t>yangi shot</t>
        </is>
      </c>
      <c r="C159" t="inlineStr">
        <is>
          <t>Транзитный счет для разовых платежей               200542744</t>
        </is>
      </c>
      <c r="D159" t="inlineStr">
        <is>
          <t>10747731</t>
        </is>
      </c>
      <c r="E159" t="inlineStr">
        <is>
          <t>06</t>
        </is>
      </c>
      <c r="F159" t="inlineStr">
        <is>
          <t>01048</t>
        </is>
      </c>
      <c r="G159" t="n">
        <v>8500000</v>
      </c>
      <c r="H159" t="inlineStr">
        <is>
          <t>0066707.09.2026йил Шартнома №26/27 Sh/A 175 га асосан SATTOROVA GULASALBONU SOBIR QIZIнинг укув контракт тулови учун утказилди (AD 2185679) от Уралова Азиза</t>
        </is>
      </c>
      <c r="I159" s="12" t="inlineStr">
        <is>
          <t>Sattorova Gulasalbonu Sobir qizi</t>
        </is>
      </c>
      <c r="J159" t="inlineStr">
        <is>
          <t>26/27 Sh/A 175</t>
        </is>
      </c>
    </row>
    <row r="160">
      <c r="A160" s="29" t="n">
        <v>46287</v>
      </c>
      <c r="B160" s="32" t="inlineStr">
        <is>
          <t>yangi shot</t>
        </is>
      </c>
      <c r="C160" t="inlineStr">
        <is>
          <t>Т/счет для спис с ПК физлиц по другим платежам (70 200542744</t>
        </is>
      </c>
      <c r="D160" t="inlineStr">
        <is>
          <t>10747140</t>
        </is>
      </c>
      <c r="E160" t="inlineStr">
        <is>
          <t>06</t>
        </is>
      </c>
      <c r="F160" t="inlineStr">
        <is>
          <t>01048</t>
        </is>
      </c>
      <c r="G160" t="n">
        <v>1700000</v>
      </c>
      <c r="H160" t="inlineStr">
        <is>
          <t>00655Primova Xusnora shartnoma №26/27 sh/А251 31,08,2026 yildagi asosan o'qish uchun to'lov от Xudaynazarova Dilafruz</t>
        </is>
      </c>
      <c r="I160" s="12" t="inlineStr">
        <is>
          <t>Primova Xusnora</t>
        </is>
      </c>
      <c r="J160" t="inlineStr">
        <is>
          <t>26/27 Sh/A 251</t>
        </is>
      </c>
    </row>
    <row r="161">
      <c r="A161" s="4" t="n">
        <v>46244</v>
      </c>
      <c r="B161" s="28" t="inlineStr">
        <is>
          <t>yangi shot</t>
        </is>
      </c>
      <c r="C161" t="inlineStr">
        <is>
          <t>Транзитный счет для разовых платежей               200542744</t>
        </is>
      </c>
      <c r="D161" t="inlineStr">
        <is>
          <t>9584387</t>
        </is>
      </c>
      <c r="E161" t="inlineStr">
        <is>
          <t>06</t>
        </is>
      </c>
      <c r="F161" t="inlineStr">
        <is>
          <t>01048</t>
        </is>
      </c>
      <c r="G161" t="n">
        <v>1700000</v>
      </c>
      <c r="H161" t="inlineStr">
        <is>
          <t>0066731.07.2026 йил шартномага асосан Ergasheva Shabbona(АЕ 2374828) нинг контракт тулови от ERGASHEVA SHABBONA</t>
        </is>
      </c>
      <c r="I161" s="12" t="inlineStr">
        <is>
          <t>Ergasheva Shabbona</t>
        </is>
      </c>
      <c r="J161" t="inlineStr"/>
    </row>
  </sheetData>
  <autoFilter ref="A1:J161">
    <sortState ref="A2:J161">
      <sortCondition ref="I1:I161"/>
    </sortState>
  </autoFilter>
  <conditionalFormatting sqref="I6">
    <cfRule type="duplicateValues" priority="9739" dxfId="0"/>
    <cfRule type="duplicateValues" priority="9740" dxfId="0"/>
    <cfRule type="duplicateValues" priority="9741" dxfId="0"/>
  </conditionalFormatting>
  <conditionalFormatting sqref="I18">
    <cfRule type="duplicateValues" priority="9724" dxfId="0"/>
    <cfRule type="duplicateValues" priority="9725" dxfId="0"/>
    <cfRule type="duplicateValues" priority="9726" dxfId="0"/>
  </conditionalFormatting>
  <conditionalFormatting sqref="I45">
    <cfRule type="duplicateValues" priority="9715" dxfId="0"/>
    <cfRule type="duplicateValues" priority="9716" dxfId="0"/>
    <cfRule type="duplicateValues" priority="9717" dxfId="0"/>
  </conditionalFormatting>
  <conditionalFormatting sqref="I50">
    <cfRule type="duplicateValues" priority="9088" dxfId="0"/>
    <cfRule type="duplicateValues" priority="9089" dxfId="0"/>
    <cfRule type="duplicateValues" priority="9090" dxfId="0"/>
  </conditionalFormatting>
  <conditionalFormatting sqref="I54">
    <cfRule type="duplicateValues" priority="9733" dxfId="0"/>
    <cfRule type="duplicateValues" priority="9734" dxfId="0"/>
    <cfRule type="duplicateValues" priority="9735" dxfId="0"/>
  </conditionalFormatting>
  <conditionalFormatting sqref="I72">
    <cfRule type="duplicateValues" priority="9745" dxfId="0"/>
    <cfRule type="duplicateValues" priority="9746" dxfId="0"/>
    <cfRule type="duplicateValues" priority="9747" dxfId="0"/>
  </conditionalFormatting>
  <conditionalFormatting sqref="I89">
    <cfRule type="duplicateValues" priority="8314" dxfId="0"/>
    <cfRule type="duplicateValues" priority="8315" dxfId="0"/>
    <cfRule type="duplicateValues" priority="8316" dxfId="0"/>
  </conditionalFormatting>
  <conditionalFormatting sqref="I90">
    <cfRule type="duplicateValues" priority="9130" dxfId="0"/>
    <cfRule type="duplicateValues" priority="9131" dxfId="0"/>
    <cfRule type="duplicateValues" priority="9132" dxfId="0"/>
  </conditionalFormatting>
  <conditionalFormatting sqref="I91">
    <cfRule type="duplicateValues" priority="8311" dxfId="0"/>
    <cfRule type="duplicateValues" priority="8312" dxfId="0"/>
    <cfRule type="duplicateValues" priority="8313" dxfId="0"/>
  </conditionalFormatting>
  <conditionalFormatting sqref="I103">
    <cfRule type="duplicateValues" priority="6475" dxfId="0"/>
    <cfRule type="duplicateValues" priority="6476" dxfId="0"/>
    <cfRule type="duplicateValues" priority="6477" dxfId="0"/>
  </conditionalFormatting>
  <conditionalFormatting sqref="I109">
    <cfRule type="duplicateValues" priority="9730" dxfId="0"/>
    <cfRule type="duplicateValues" priority="9731" dxfId="0"/>
    <cfRule type="duplicateValues" priority="9732" dxfId="0"/>
  </conditionalFormatting>
  <conditionalFormatting sqref="I122">
    <cfRule type="duplicateValues" priority="8296" dxfId="0"/>
    <cfRule type="duplicateValues" priority="8297" dxfId="0"/>
    <cfRule type="duplicateValues" priority="8298" dxfId="0"/>
  </conditionalFormatting>
  <conditionalFormatting sqref="I123">
    <cfRule type="duplicateValues" priority="8983" dxfId="0"/>
    <cfRule type="duplicateValues" priority="8984" dxfId="0"/>
    <cfRule type="duplicateValues" priority="8985" dxfId="0"/>
  </conditionalFormatting>
  <conditionalFormatting sqref="I128">
    <cfRule type="duplicateValues" priority="9136" dxfId="0"/>
    <cfRule type="duplicateValues" priority="9137" dxfId="0"/>
    <cfRule type="duplicateValues" priority="9138" dxfId="0"/>
  </conditionalFormatting>
  <conditionalFormatting sqref="I136">
    <cfRule type="duplicateValues" priority="3121" dxfId="0"/>
    <cfRule type="duplicateValues" priority="3122" dxfId="0"/>
    <cfRule type="duplicateValues" priority="3123" dxfId="0"/>
  </conditionalFormatting>
  <conditionalFormatting sqref="I137">
    <cfRule type="duplicateValues" priority="9847" dxfId="0"/>
    <cfRule type="duplicateValues" priority="9848" dxfId="0"/>
    <cfRule type="duplicateValues" priority="9849" dxfId="0"/>
  </conditionalFormatting>
  <conditionalFormatting sqref="I138">
    <cfRule type="duplicateValues" priority="3103" dxfId="0"/>
    <cfRule type="duplicateValues" priority="3104" dxfId="0"/>
    <cfRule type="duplicateValues" priority="3105" dxfId="0"/>
  </conditionalFormatting>
  <conditionalFormatting sqref="I140">
    <cfRule type="duplicateValues" priority="3091" dxfId="0"/>
    <cfRule type="duplicateValues" priority="3092" dxfId="0"/>
    <cfRule type="duplicateValues" priority="3093" dxfId="0"/>
  </conditionalFormatting>
  <conditionalFormatting sqref="I141">
    <cfRule type="duplicateValues" priority="3082" dxfId="0"/>
    <cfRule type="duplicateValues" priority="3083" dxfId="0"/>
    <cfRule type="duplicateValues" priority="3084" dxfId="0"/>
  </conditionalFormatting>
  <conditionalFormatting sqref="I143">
    <cfRule type="duplicateValues" priority="3070" dxfId="0"/>
    <cfRule type="duplicateValues" priority="3071" dxfId="0"/>
    <cfRule type="duplicateValues" priority="3072" dxfId="0"/>
  </conditionalFormatting>
  <conditionalFormatting sqref="I146">
    <cfRule type="duplicateValues" priority="8971" dxfId="0"/>
    <cfRule type="duplicateValues" priority="8972" dxfId="0"/>
    <cfRule type="duplicateValues" priority="8973" dxfId="0"/>
  </conditionalFormatting>
  <conditionalFormatting sqref="I147">
    <cfRule type="duplicateValues" priority="3052" dxfId="0"/>
    <cfRule type="duplicateValues" priority="3053" dxfId="0"/>
    <cfRule type="duplicateValues" priority="3054" dxfId="0"/>
  </conditionalFormatting>
  <conditionalFormatting sqref="I148">
    <cfRule type="duplicateValues" priority="3040" dxfId="0"/>
    <cfRule type="duplicateValues" priority="3041" dxfId="0"/>
    <cfRule type="duplicateValues" priority="3042" dxfId="0"/>
  </conditionalFormatting>
  <conditionalFormatting sqref="I149">
    <cfRule type="duplicateValues" priority="3028" dxfId="0"/>
    <cfRule type="duplicateValues" priority="3029" dxfId="0"/>
    <cfRule type="duplicateValues" priority="3030" dxfId="0"/>
  </conditionalFormatting>
  <conditionalFormatting sqref="I150">
    <cfRule type="duplicateValues" priority="3004" dxfId="0"/>
    <cfRule type="duplicateValues" priority="3005" dxfId="0"/>
    <cfRule type="duplicateValues" priority="3006" dxfId="0"/>
  </conditionalFormatting>
  <conditionalFormatting sqref="I151">
    <cfRule type="duplicateValues" priority="2986" dxfId="0"/>
    <cfRule type="duplicateValues" priority="2987" dxfId="0"/>
    <cfRule type="duplicateValues" priority="2988" dxfId="0"/>
  </conditionalFormatting>
  <conditionalFormatting sqref="I156">
    <cfRule type="duplicateValues" priority="2935" dxfId="0"/>
    <cfRule type="duplicateValues" priority="2936" dxfId="0"/>
    <cfRule type="duplicateValues" priority="2937" dxfId="0"/>
  </conditionalFormatting>
  <conditionalFormatting sqref="I157">
    <cfRule type="duplicateValues" priority="2923" dxfId="0"/>
    <cfRule type="duplicateValues" priority="2924" dxfId="0"/>
    <cfRule type="duplicateValues" priority="2925" dxfId="0"/>
  </conditionalFormatting>
  <conditionalFormatting sqref="I158">
    <cfRule type="duplicateValues" priority="2908" dxfId="0"/>
    <cfRule type="duplicateValues" priority="2909" dxfId="0"/>
    <cfRule type="duplicateValues" priority="2910" dxfId="0"/>
  </conditionalFormatting>
  <conditionalFormatting sqref="I159">
    <cfRule type="duplicateValues" priority="2887" dxfId="0"/>
    <cfRule type="duplicateValues" priority="2888" dxfId="0"/>
    <cfRule type="duplicateValues" priority="2889" dxfId="0"/>
  </conditionalFormatting>
  <conditionalFormatting sqref="I160:I161">
    <cfRule type="duplicateValues" priority="2878" dxfId="0"/>
    <cfRule type="duplicateValues" priority="2879" dxfId="0"/>
    <cfRule type="duplicateValues" priority="2880" dxfId="0"/>
  </conditionalFormatting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57"/>
  <sheetViews>
    <sheetView topLeftCell="A6" workbookViewId="0">
      <selection activeCell="G19" sqref="G19"/>
    </sheetView>
  </sheetViews>
  <sheetFormatPr baseColWidth="8" defaultColWidth="8.85546875" defaultRowHeight="15"/>
  <cols>
    <col width="18" bestFit="1" customWidth="1" min="2" max="2"/>
    <col width="14.85546875" bestFit="1" customWidth="1" min="3" max="3"/>
    <col width="12.28515625" bestFit="1" customWidth="1" min="4" max="4"/>
  </cols>
  <sheetData>
    <row r="1">
      <c r="C1" s="4">
        <f>TODAY()</f>
        <v/>
      </c>
    </row>
    <row r="2">
      <c r="B2" t="inlineStr">
        <is>
          <t>Talabalar soni</t>
        </is>
      </c>
      <c r="C2" s="33">
        <f>SUM(#REF!)</f>
        <v/>
      </c>
    </row>
    <row r="3">
      <c r="B3" t="inlineStr">
        <is>
          <t>Guruhlar soni</t>
        </is>
      </c>
      <c r="C3" s="33">
        <f>COUNT(#REF!)</f>
        <v/>
      </c>
    </row>
    <row r="4">
      <c r="B4" t="inlineStr">
        <is>
          <t>Umumiy tushum</t>
        </is>
      </c>
      <c r="C4" s="33">
        <f>SUM(#REF!)</f>
        <v/>
      </c>
    </row>
    <row r="5">
      <c r="B5" t="inlineStr">
        <is>
          <t>Umumiy qarzdorlik</t>
        </is>
      </c>
      <c r="C5" s="33">
        <f>SUM(#REF!)</f>
        <v/>
      </c>
    </row>
    <row r="6">
      <c r="B6" t="inlineStr">
        <is>
          <t>Shartnoma qiymati</t>
        </is>
      </c>
      <c r="C6" s="33">
        <f>SUM(#REF!)</f>
        <v/>
      </c>
    </row>
    <row r="18" ht="45.75" customHeight="1" thickBot="1">
      <c r="B18" s="5" t="inlineStr">
        <is>
          <t>Guruhlar</t>
        </is>
      </c>
      <c r="C18" s="5" t="inlineStr">
        <is>
          <t>Umumiy tushum</t>
        </is>
      </c>
      <c r="D18" s="5" t="inlineStr">
        <is>
          <t>Umumiy shartnoma qiymati</t>
        </is>
      </c>
      <c r="E18" s="9" t="inlineStr">
        <is>
          <t>Fozida</t>
        </is>
      </c>
    </row>
    <row r="19">
      <c r="B19" s="6" t="n">
        <v>101</v>
      </c>
      <c r="C19" s="35">
        <f>#REF!</f>
        <v/>
      </c>
      <c r="D19" s="35">
        <f>#REF!</f>
        <v/>
      </c>
      <c r="E19" s="10">
        <f>C19/D19</f>
        <v/>
      </c>
      <c r="F19">
        <f>IF(E19&gt;99%,"✔","☹")</f>
        <v/>
      </c>
    </row>
    <row r="20">
      <c r="B20" s="7" t="n">
        <v>102</v>
      </c>
      <c r="C20" s="35">
        <f>#REF!</f>
        <v/>
      </c>
      <c r="D20" s="35">
        <f>#REF!</f>
        <v/>
      </c>
      <c r="E20" s="10">
        <f>C20/D20</f>
        <v/>
      </c>
      <c r="F20">
        <f>IF(E20&gt;99%,"✔","☹")</f>
        <v/>
      </c>
    </row>
    <row r="21">
      <c r="B21" s="6" t="n">
        <v>103</v>
      </c>
      <c r="C21" s="35">
        <f>#REF!</f>
        <v/>
      </c>
      <c r="D21" s="35">
        <f>#REF!</f>
        <v/>
      </c>
      <c r="E21" s="10">
        <f>C21/D21</f>
        <v/>
      </c>
      <c r="F21">
        <f>IF(E21&gt;99%,"✔","☹")</f>
        <v/>
      </c>
    </row>
    <row r="22">
      <c r="B22" s="7" t="n">
        <v>104</v>
      </c>
      <c r="C22" s="35">
        <f>#REF!</f>
        <v/>
      </c>
      <c r="D22" s="35">
        <f>#REF!</f>
        <v/>
      </c>
      <c r="E22" s="10">
        <f>C22/D22</f>
        <v/>
      </c>
      <c r="F22">
        <f>IF(E22&gt;99%,"✔","☹")</f>
        <v/>
      </c>
    </row>
    <row r="23">
      <c r="B23" s="6" t="n">
        <v>105</v>
      </c>
      <c r="C23" s="35">
        <f>#REF!</f>
        <v/>
      </c>
      <c r="D23" s="35">
        <f>#REF!</f>
        <v/>
      </c>
      <c r="E23" s="10">
        <f>C23/D23</f>
        <v/>
      </c>
      <c r="F23">
        <f>IF(E23&gt;99%,"✔","☹")</f>
        <v/>
      </c>
    </row>
    <row r="24">
      <c r="B24" s="7" t="n">
        <v>106</v>
      </c>
      <c r="C24" s="35">
        <f>#REF!</f>
        <v/>
      </c>
      <c r="D24" s="35">
        <f>#REF!</f>
        <v/>
      </c>
      <c r="E24" s="10">
        <f>C24/D24</f>
        <v/>
      </c>
      <c r="F24">
        <f>IF(E24&gt;99%,"✔","☹")</f>
        <v/>
      </c>
    </row>
    <row r="25">
      <c r="B25" s="6" t="n">
        <v>107</v>
      </c>
      <c r="C25" s="35">
        <f>#REF!</f>
        <v/>
      </c>
      <c r="D25" s="35">
        <f>#REF!</f>
        <v/>
      </c>
      <c r="E25" s="10">
        <f>C25/D25</f>
        <v/>
      </c>
      <c r="F25">
        <f>IF(E25&gt;99%,"✔","☹")</f>
        <v/>
      </c>
    </row>
    <row r="26">
      <c r="B26" s="7" t="n">
        <v>108</v>
      </c>
      <c r="C26" s="35">
        <f>#REF!</f>
        <v/>
      </c>
      <c r="D26" s="35">
        <f>#REF!</f>
        <v/>
      </c>
      <c r="E26" s="10">
        <f>C26/D26</f>
        <v/>
      </c>
      <c r="F26">
        <f>IF(E26&gt;99%,"✔","☹")</f>
        <v/>
      </c>
    </row>
    <row r="27">
      <c r="B27" s="6" t="n">
        <v>113</v>
      </c>
      <c r="C27" s="35">
        <f>#REF!</f>
        <v/>
      </c>
      <c r="D27" s="35">
        <f>#REF!</f>
        <v/>
      </c>
      <c r="E27" s="10">
        <f>C27/D27</f>
        <v/>
      </c>
      <c r="F27">
        <f>IF(E27&gt;99%,"✔","☹")</f>
        <v/>
      </c>
    </row>
    <row r="28">
      <c r="B28" s="7" t="n">
        <v>114</v>
      </c>
      <c r="C28" s="35">
        <f>#REF!</f>
        <v/>
      </c>
      <c r="D28" s="35">
        <f>#REF!</f>
        <v/>
      </c>
      <c r="E28" s="10">
        <f>C28/D28</f>
        <v/>
      </c>
      <c r="F28">
        <f>IF(E28&gt;99%,"✔","☹")</f>
        <v/>
      </c>
    </row>
    <row r="29">
      <c r="B29" s="6" t="n">
        <v>115</v>
      </c>
      <c r="C29" s="35">
        <f>#REF!</f>
        <v/>
      </c>
      <c r="D29" s="35">
        <f>#REF!</f>
        <v/>
      </c>
      <c r="E29" s="10">
        <f>C29/D29</f>
        <v/>
      </c>
      <c r="F29">
        <f>IF(E29&gt;99%,"✔","☹")</f>
        <v/>
      </c>
    </row>
    <row r="30">
      <c r="B30" s="7" t="n">
        <v>116</v>
      </c>
      <c r="C30" s="35">
        <f>#REF!</f>
        <v/>
      </c>
      <c r="D30" s="35">
        <f>#REF!</f>
        <v/>
      </c>
      <c r="E30" s="10">
        <f>C30/D30</f>
        <v/>
      </c>
      <c r="F30">
        <f>IF(E30&gt;99%,"✔","☹")</f>
        <v/>
      </c>
    </row>
    <row r="31">
      <c r="B31" s="6" t="n">
        <v>201</v>
      </c>
      <c r="C31" s="35">
        <f>#REF!</f>
        <v/>
      </c>
      <c r="D31" s="35">
        <f>#REF!</f>
        <v/>
      </c>
      <c r="E31" s="10">
        <f>C31/D31</f>
        <v/>
      </c>
      <c r="F31">
        <f>IF(E31&gt;99%,"✔","☹")</f>
        <v/>
      </c>
    </row>
    <row r="32">
      <c r="B32" s="7" t="n">
        <v>202</v>
      </c>
      <c r="C32" s="35">
        <f>#REF!</f>
        <v/>
      </c>
      <c r="D32" s="35">
        <f>#REF!</f>
        <v/>
      </c>
      <c r="E32" s="10">
        <f>C32/D32</f>
        <v/>
      </c>
      <c r="F32">
        <f>IF(E32&gt;99%,"✔","☹")</f>
        <v/>
      </c>
    </row>
    <row r="33">
      <c r="B33" s="6" t="n">
        <v>203</v>
      </c>
      <c r="C33" s="35">
        <f>#REF!</f>
        <v/>
      </c>
      <c r="D33" s="35">
        <f>#REF!</f>
        <v/>
      </c>
      <c r="E33" s="10">
        <f>C33/D33</f>
        <v/>
      </c>
      <c r="F33">
        <f>IF(E33&gt;99%,"✔","☹")</f>
        <v/>
      </c>
    </row>
    <row r="34">
      <c r="B34" s="7" t="n">
        <v>204</v>
      </c>
      <c r="C34" s="35">
        <f>#REF!</f>
        <v/>
      </c>
      <c r="D34" s="35">
        <f>#REF!</f>
        <v/>
      </c>
      <c r="E34" s="10">
        <f>C34/D34</f>
        <v/>
      </c>
      <c r="F34">
        <f>IF(E34&gt;99%,"✔","☹")</f>
        <v/>
      </c>
    </row>
    <row r="35">
      <c r="B35" s="6" t="n">
        <v>205</v>
      </c>
      <c r="C35" s="35">
        <f>#REF!</f>
        <v/>
      </c>
      <c r="D35" s="35">
        <f>#REF!</f>
        <v/>
      </c>
      <c r="E35" s="10">
        <f>C35/D35</f>
        <v/>
      </c>
      <c r="F35">
        <f>IF(E35&gt;99%,"✔","☹")</f>
        <v/>
      </c>
    </row>
    <row r="36">
      <c r="B36" s="7" t="n"/>
      <c r="C36" s="35">
        <f>#REF!</f>
        <v/>
      </c>
      <c r="D36" s="35">
        <f>#REF!</f>
        <v/>
      </c>
      <c r="E36" s="10">
        <f>C36/D36</f>
        <v/>
      </c>
      <c r="F36">
        <f>IF(E36&gt;99%,"✔","-")</f>
        <v/>
      </c>
    </row>
    <row r="37">
      <c r="B37" s="6" t="n"/>
      <c r="C37" s="35">
        <f>#REF!</f>
        <v/>
      </c>
      <c r="D37" s="35">
        <f>#REF!</f>
        <v/>
      </c>
      <c r="E37" s="10">
        <f>C37/D37</f>
        <v/>
      </c>
      <c r="F37">
        <f>IF(E37&gt;99%,"✔","-")</f>
        <v/>
      </c>
    </row>
    <row r="38">
      <c r="B38" s="7" t="n"/>
      <c r="C38" s="35">
        <f>#REF!</f>
        <v/>
      </c>
      <c r="D38" s="35">
        <f>#REF!</f>
        <v/>
      </c>
      <c r="E38" s="10">
        <f>C38/D38</f>
        <v/>
      </c>
      <c r="F38">
        <f>IF(E38&gt;99%,"✔","-")</f>
        <v/>
      </c>
    </row>
    <row r="39">
      <c r="B39" s="6" t="n"/>
      <c r="C39" s="35">
        <f>#REF!</f>
        <v/>
      </c>
      <c r="D39" s="35">
        <f>#REF!</f>
        <v/>
      </c>
      <c r="E39" s="10">
        <f>C39/D39</f>
        <v/>
      </c>
      <c r="F39">
        <f>IF(E39&gt;99%,"✔","-")</f>
        <v/>
      </c>
    </row>
    <row r="40">
      <c r="B40" s="7" t="n"/>
      <c r="C40" s="35">
        <f>#REF!</f>
        <v/>
      </c>
      <c r="D40" s="35">
        <f>#REF!</f>
        <v/>
      </c>
      <c r="E40" s="10">
        <f>C40/D40</f>
        <v/>
      </c>
      <c r="F40">
        <f>IF(E40&gt;99%,"✔","-")</f>
        <v/>
      </c>
    </row>
    <row r="41">
      <c r="B41" s="6" t="n"/>
      <c r="C41" s="35">
        <f>#REF!</f>
        <v/>
      </c>
      <c r="D41" s="35">
        <f>#REF!</f>
        <v/>
      </c>
      <c r="E41" s="10">
        <f>C41/D41</f>
        <v/>
      </c>
      <c r="F41">
        <f>IF(E41&gt;99%,"✔","-")</f>
        <v/>
      </c>
    </row>
    <row r="42">
      <c r="B42" s="7" t="n"/>
      <c r="C42" s="35">
        <f>#REF!</f>
        <v/>
      </c>
      <c r="D42" s="35">
        <f>#REF!</f>
        <v/>
      </c>
      <c r="E42" s="10">
        <f>C42/D42</f>
        <v/>
      </c>
      <c r="F42">
        <f>IF(E42&gt;99%,"✔","-")</f>
        <v/>
      </c>
    </row>
    <row r="43">
      <c r="B43" s="6" t="n"/>
      <c r="C43" s="35">
        <f>#REF!</f>
        <v/>
      </c>
      <c r="D43" s="35">
        <f>#REF!</f>
        <v/>
      </c>
      <c r="E43" s="10">
        <f>C43/D43</f>
        <v/>
      </c>
      <c r="F43">
        <f>IF(E43&gt;99%,"✔","-")</f>
        <v/>
      </c>
    </row>
    <row r="44">
      <c r="B44" s="7" t="n"/>
      <c r="C44" s="35">
        <f>#REF!</f>
        <v/>
      </c>
      <c r="D44" s="35">
        <f>#REF!</f>
        <v/>
      </c>
      <c r="E44" s="10">
        <f>C44/D44</f>
        <v/>
      </c>
      <c r="F44">
        <f>IF(E44&gt;99%,"✔","-")</f>
        <v/>
      </c>
    </row>
    <row r="45">
      <c r="B45" s="6" t="n"/>
      <c r="C45" s="35">
        <f>#REF!</f>
        <v/>
      </c>
      <c r="D45" s="35">
        <f>#REF!</f>
        <v/>
      </c>
      <c r="E45" s="10">
        <f>C45/D45</f>
        <v/>
      </c>
      <c r="F45">
        <f>IF(E45&gt;99%,"✔","-")</f>
        <v/>
      </c>
    </row>
    <row r="46">
      <c r="B46" s="7" t="n"/>
      <c r="C46" s="35">
        <f>#REF!</f>
        <v/>
      </c>
      <c r="D46" s="35">
        <f>#REF!</f>
        <v/>
      </c>
      <c r="E46" s="10">
        <f>C46/D46</f>
        <v/>
      </c>
      <c r="F46">
        <f>IF(E46&gt;99%,"✔","-")</f>
        <v/>
      </c>
    </row>
    <row r="47">
      <c r="B47" s="6" t="n"/>
      <c r="C47" s="35">
        <f>#REF!</f>
        <v/>
      </c>
      <c r="D47" s="35">
        <f>#REF!</f>
        <v/>
      </c>
      <c r="E47" s="10">
        <f>C47/D47</f>
        <v/>
      </c>
      <c r="F47">
        <f>IF(E47&gt;99%,"✔","-")</f>
        <v/>
      </c>
    </row>
    <row r="48">
      <c r="B48" s="7" t="n"/>
      <c r="C48" s="35">
        <f>#REF!</f>
        <v/>
      </c>
      <c r="D48" s="35">
        <f>#REF!</f>
        <v/>
      </c>
      <c r="E48" s="10">
        <f>C48/D48</f>
        <v/>
      </c>
      <c r="F48">
        <f>IF(E48&gt;99%,"✔","-")</f>
        <v/>
      </c>
    </row>
    <row r="49">
      <c r="B49" s="6" t="n"/>
      <c r="C49" s="35">
        <f>#REF!</f>
        <v/>
      </c>
      <c r="D49" s="35">
        <f>#REF!</f>
        <v/>
      </c>
      <c r="E49" s="10">
        <f>C49/D49</f>
        <v/>
      </c>
      <c r="F49">
        <f>IF(E49&gt;99%,"✔","-")</f>
        <v/>
      </c>
    </row>
    <row r="50">
      <c r="B50" s="7" t="n"/>
      <c r="C50" s="35">
        <f>#REF!</f>
        <v/>
      </c>
      <c r="D50" s="35">
        <f>#REF!</f>
        <v/>
      </c>
      <c r="E50" s="10">
        <f>C50/D50</f>
        <v/>
      </c>
      <c r="F50">
        <f>IF(E50&gt;99%,"✔","-")</f>
        <v/>
      </c>
    </row>
    <row r="51">
      <c r="B51" s="6" t="n"/>
      <c r="C51" s="35">
        <f>#REF!</f>
        <v/>
      </c>
      <c r="D51" s="35">
        <f>#REF!</f>
        <v/>
      </c>
      <c r="E51" s="10">
        <f>C51/D51</f>
        <v/>
      </c>
      <c r="F51">
        <f>IF(E51&gt;99%,"✔","-")</f>
        <v/>
      </c>
    </row>
    <row r="52">
      <c r="B52" s="7" t="n"/>
      <c r="C52" s="35">
        <f>#REF!</f>
        <v/>
      </c>
      <c r="D52" s="35">
        <f>#REF!</f>
        <v/>
      </c>
      <c r="E52" s="10">
        <f>C52/D52</f>
        <v/>
      </c>
      <c r="F52">
        <f>IF(E52&gt;99%,"✔","-")</f>
        <v/>
      </c>
    </row>
    <row r="53">
      <c r="B53" s="6" t="n"/>
      <c r="C53" s="35">
        <f>#REF!</f>
        <v/>
      </c>
      <c r="D53" s="35">
        <f>#REF!</f>
        <v/>
      </c>
      <c r="E53" s="10">
        <f>C53/D53</f>
        <v/>
      </c>
      <c r="F53">
        <f>IF(E53&gt;99%,"✔","-")</f>
        <v/>
      </c>
    </row>
    <row r="54">
      <c r="B54" s="7" t="n"/>
      <c r="C54" s="35">
        <f>#REF!</f>
        <v/>
      </c>
      <c r="D54" s="35">
        <f>#REF!</f>
        <v/>
      </c>
      <c r="E54" s="10">
        <f>C54/D54</f>
        <v/>
      </c>
      <c r="F54">
        <f>IF(E54&gt;99%,"✔","-")</f>
        <v/>
      </c>
    </row>
    <row r="55">
      <c r="B55" s="6" t="n"/>
      <c r="C55" s="35">
        <f>#REF!</f>
        <v/>
      </c>
      <c r="D55" s="35">
        <f>#REF!</f>
        <v/>
      </c>
      <c r="E55" s="10">
        <f>C55/D55</f>
        <v/>
      </c>
      <c r="F55">
        <f>IF(E55&gt;99%,"✔","-")</f>
        <v/>
      </c>
    </row>
    <row r="56">
      <c r="B56" s="7" t="n"/>
      <c r="C56" s="35">
        <f>#REF!</f>
        <v/>
      </c>
      <c r="D56" s="35">
        <f>#REF!</f>
        <v/>
      </c>
      <c r="E56" s="10">
        <f>C56/D56</f>
        <v/>
      </c>
      <c r="F56">
        <f>IF(E56&gt;99%,"✔","-")</f>
        <v/>
      </c>
    </row>
    <row r="57">
      <c r="B57" s="6" t="n"/>
      <c r="C57" s="35">
        <f>#REF!</f>
        <v/>
      </c>
      <c r="D57" s="35">
        <f>#REF!</f>
        <v/>
      </c>
      <c r="E57" s="10">
        <f>C57/D57</f>
        <v/>
      </c>
      <c r="F57">
        <f>IF(E57&gt;99%,"✔","-")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28" sqref="A28:H28"/>
    </sheetView>
  </sheetViews>
  <sheetFormatPr baseColWidth="8" defaultColWidth="8.85546875" defaultRowHeight="15"/>
  <cols>
    <col width="45.85546875" customWidth="1" min="1" max="1"/>
    <col width="12.140625" customWidth="1" min="2" max="2"/>
    <col width="16.85546875" customWidth="1" min="3" max="3"/>
    <col width="15" customWidth="1" min="4" max="4"/>
    <col width="15.42578125" customWidth="1" min="5" max="5"/>
    <col width="13.28515625" customWidth="1" min="6" max="6"/>
    <col width="13.85546875" customWidth="1" min="7" max="7"/>
    <col width="13.42578125" customWidth="1" min="8" max="8"/>
    <col width="9.140625" customWidth="1" min="9" max="9"/>
  </cols>
  <sheetData>
    <row r="1">
      <c r="A1" s="16" t="inlineStr">
        <is>
          <t>ABDURAXMONOVA UMIDA ABDISAMAT QIZI</t>
        </is>
      </c>
      <c r="B1" s="17" t="n">
        <v>114</v>
      </c>
      <c r="C1" s="36" t="n">
        <v>8500000</v>
      </c>
      <c r="D1" s="36" t="n">
        <v>0</v>
      </c>
      <c r="E1" s="37">
        <f>SUMIFS(bank!$G:$G,bank!$I:$I,$A1,bank!$J:$J,1)</f>
        <v/>
      </c>
      <c r="F1" s="37">
        <f>SUMIFS(bank!$G:$G,bank!$I:$I,$A1,bank!$J:$J,2)</f>
        <v/>
      </c>
      <c r="G1" s="37">
        <f>#REF!-#REF!</f>
        <v/>
      </c>
      <c r="H1" s="38">
        <f>#REF!-#REF!</f>
        <v/>
      </c>
    </row>
    <row r="2">
      <c r="A2" s="12" t="inlineStr">
        <is>
          <t xml:space="preserve">Alisherova Aziza Alisher qizi </t>
        </is>
      </c>
      <c r="B2" s="17" t="n">
        <v>108</v>
      </c>
      <c r="C2" s="39" t="n">
        <v>0</v>
      </c>
      <c r="D2" s="39" t="n">
        <v>8500000</v>
      </c>
      <c r="E2" s="40">
        <f>SUMIFS(bank!$G:$G,bank!$I:$I,$A2,bank!$J:$J,1)</f>
        <v/>
      </c>
      <c r="F2" s="40">
        <f>SUMIFS(bank!$G:$G,bank!$I:$I,$A2,bank!$J:$J,2)</f>
        <v/>
      </c>
      <c r="G2" s="40">
        <f>#REF!-#REF!</f>
        <v/>
      </c>
      <c r="H2" s="41">
        <f>#REF!-#REF!</f>
        <v/>
      </c>
    </row>
    <row r="3">
      <c r="A3" s="16" t="inlineStr">
        <is>
          <t>Arzillayeva Dilorom Bahodir qizi</t>
        </is>
      </c>
      <c r="B3" s="17" t="n">
        <v>116</v>
      </c>
      <c r="C3" s="42" t="n">
        <v>8500000</v>
      </c>
      <c r="D3" s="42" t="n">
        <v>8500000</v>
      </c>
      <c r="E3" s="37">
        <f>SUMIFS(bank!$G:$G,bank!$I:$I,$A3,bank!$J:$J,1)</f>
        <v/>
      </c>
      <c r="F3" s="37">
        <f>SUMIFS(bank!$G:$G,bank!$I:$I,$A3,bank!$J:$J,2)</f>
        <v/>
      </c>
      <c r="G3" s="37">
        <f>#REF!-#REF!</f>
        <v/>
      </c>
      <c r="H3" s="38">
        <f>#REF!-#REF!</f>
        <v/>
      </c>
    </row>
    <row r="4">
      <c r="A4" s="12" t="inlineStr">
        <is>
          <t>Axmatova Muxlisa Asror qizi</t>
        </is>
      </c>
      <c r="B4" s="17" t="n">
        <v>114</v>
      </c>
      <c r="C4" s="39" t="n">
        <v>0</v>
      </c>
      <c r="D4" s="39" t="n">
        <v>8500000</v>
      </c>
      <c r="E4" s="40">
        <f>SUMIFS(bank!$G:$G,bank!$I:$I,$A4,bank!$J:$J,1)</f>
        <v/>
      </c>
      <c r="F4" s="40">
        <f>SUMIFS(bank!$G:$G,bank!$I:$I,$A4,bank!$J:$J,2)</f>
        <v/>
      </c>
      <c r="G4" s="40">
        <f>#REF!-#REF!</f>
        <v/>
      </c>
      <c r="H4" s="41">
        <f>#REF!-#REF!</f>
        <v/>
      </c>
    </row>
    <row r="5">
      <c r="A5" s="16" t="inlineStr">
        <is>
          <t>Azizova Sevinchoy Shuxrat qizi</t>
        </is>
      </c>
      <c r="B5" s="17" t="n">
        <v>108</v>
      </c>
      <c r="C5" s="36" t="n">
        <v>0</v>
      </c>
      <c r="D5" s="36" t="n">
        <v>8500000</v>
      </c>
      <c r="E5" s="37">
        <f>SUMIFS(bank!$G:$G,bank!$I:$I,$A5,bank!$J:$J,1)</f>
        <v/>
      </c>
      <c r="F5" s="37">
        <f>SUMIFS(bank!$G:$G,bank!$I:$I,$A5,bank!$J:$J,2)</f>
        <v/>
      </c>
      <c r="G5" s="37">
        <f>#REF!-#REF!</f>
        <v/>
      </c>
      <c r="H5" s="38">
        <f>#REF!-#REF!</f>
        <v/>
      </c>
    </row>
    <row r="6">
      <c r="A6" s="12" t="inlineStr">
        <is>
          <t>Baratova Sabrina Aktam qizi</t>
        </is>
      </c>
      <c r="B6" s="17" t="n">
        <v>108</v>
      </c>
      <c r="C6" s="39" t="n">
        <v>0</v>
      </c>
      <c r="D6" s="39" t="n">
        <v>10750000</v>
      </c>
      <c r="E6" s="40">
        <f>SUMIFS(bank!$G:$G,bank!$I:$I,$A6,bank!$J:$J,1)</f>
        <v/>
      </c>
      <c r="F6" s="40">
        <f>SUMIFS(bank!$G:$G,bank!$I:$I,$A6,bank!$J:$J,2)</f>
        <v/>
      </c>
      <c r="G6" s="40">
        <f>#REF!-#REF!</f>
        <v/>
      </c>
      <c r="H6" s="41">
        <f>#REF!-#REF!</f>
        <v/>
      </c>
    </row>
    <row r="7">
      <c r="A7" s="16" t="inlineStr">
        <is>
          <t>BERDIYEVA GULCHEHRA ALISHEROVNA</t>
        </is>
      </c>
      <c r="B7" s="17" t="n">
        <v>116</v>
      </c>
      <c r="C7" s="36" t="n">
        <v>8500000</v>
      </c>
      <c r="D7" s="36" t="n">
        <v>0</v>
      </c>
      <c r="E7" s="37">
        <f>SUMIFS(bank!$G:$G,bank!$I:$I,$A7,bank!$J:$J,1)</f>
        <v/>
      </c>
      <c r="F7" s="37">
        <f>SUMIFS(bank!$G:$G,bank!$I:$I,$A7,bank!$J:$J,2)</f>
        <v/>
      </c>
      <c r="G7" s="37">
        <f>#REF!-#REF!</f>
        <v/>
      </c>
      <c r="H7" s="38">
        <f>#REF!-#REF!</f>
        <v/>
      </c>
    </row>
    <row r="8">
      <c r="A8" s="12" t="inlineStr">
        <is>
          <t>Bozorov Shahzod Azamat o'g'li</t>
        </is>
      </c>
      <c r="B8" s="17" t="n">
        <v>102</v>
      </c>
      <c r="C8" s="39" t="n">
        <v>0</v>
      </c>
      <c r="D8" s="39" t="n">
        <v>8500000</v>
      </c>
      <c r="E8" s="40">
        <f>SUMIFS(bank!$G:$G,bank!$I:$I,$A8,bank!$J:$J,1)</f>
        <v/>
      </c>
      <c r="F8" s="40">
        <f>SUMIFS(bank!$G:$G,bank!$I:$I,$A8,bank!$J:$J,2)</f>
        <v/>
      </c>
      <c r="G8" s="40">
        <f>#REF!-#REF!</f>
        <v/>
      </c>
      <c r="H8" s="41">
        <f>#REF!-#REF!</f>
        <v/>
      </c>
    </row>
    <row r="9">
      <c r="A9" s="16" t="inlineStr">
        <is>
          <t>HASANOVA MUQADDAS OLIM QIZI</t>
        </is>
      </c>
      <c r="B9" s="17" t="n">
        <v>114</v>
      </c>
      <c r="C9" s="36" t="n">
        <v>8500000</v>
      </c>
      <c r="D9" s="36" t="n">
        <v>0</v>
      </c>
      <c r="E9" s="37">
        <f>SUMIFS(bank!$G:$G,bank!$I:$I,$A9,bank!$J:$J,1)</f>
        <v/>
      </c>
      <c r="F9" s="37">
        <f>SUMIFS(bank!$G:$G,bank!$I:$I,$A9,bank!$J:$J,2)</f>
        <v/>
      </c>
      <c r="G9" s="37">
        <f>#REF!-#REF!</f>
        <v/>
      </c>
      <c r="H9" s="38">
        <f>#REF!-#REF!</f>
        <v/>
      </c>
    </row>
    <row r="10">
      <c r="A10" s="12" t="inlineStr">
        <is>
          <t>Hazratova Umriniso Komil qizi</t>
        </is>
      </c>
      <c r="B10" s="17" t="n">
        <v>115</v>
      </c>
      <c r="C10" s="43" t="n">
        <v>8500000</v>
      </c>
      <c r="D10" s="43" t="n">
        <v>8500000</v>
      </c>
      <c r="E10" s="40">
        <f>SUMIFS(bank!$G:$G,bank!$I:$I,$A10,bank!$J:$J,1)</f>
        <v/>
      </c>
      <c r="F10" s="40">
        <f>SUMIFS(bank!$G:$G,bank!$I:$I,$A10,bank!$J:$J,2)</f>
        <v/>
      </c>
      <c r="G10" s="40">
        <f>#REF!-#REF!</f>
        <v/>
      </c>
      <c r="H10" s="41">
        <f>#REF!-#REF!</f>
        <v/>
      </c>
    </row>
    <row r="11">
      <c r="A11" s="16" t="inlineStr">
        <is>
          <t>Inayotova Kumush Farhod qizi</t>
        </is>
      </c>
      <c r="B11" s="17" t="n">
        <v>203</v>
      </c>
      <c r="C11" s="36" t="n">
        <v>8500000</v>
      </c>
      <c r="D11" s="36" t="n">
        <v>0</v>
      </c>
      <c r="E11" s="37">
        <f>SUMIFS(bank!$G:$G,bank!$I:$I,$A11,bank!$J:$J,1)</f>
        <v/>
      </c>
      <c r="F11" s="37">
        <f>SUMIFS(bank!$G:$G,bank!$I:$I,$A11,bank!$J:$J,2)</f>
        <v/>
      </c>
      <c r="G11" s="37">
        <f>#REF!-#REF!</f>
        <v/>
      </c>
      <c r="H11" s="38">
        <f>#REF!-#REF!</f>
        <v/>
      </c>
    </row>
    <row r="12">
      <c r="A12" s="12" t="inlineStr">
        <is>
          <t>JALILOVA ROXILA SHAMURZAYEVNA</t>
        </is>
      </c>
      <c r="B12" s="17" t="n">
        <v>115</v>
      </c>
      <c r="C12" s="39" t="n">
        <v>8500000</v>
      </c>
      <c r="D12" s="39" t="n">
        <v>0</v>
      </c>
      <c r="E12" s="40">
        <f>SUMIFS(bank!$G:$G,bank!$I:$I,$A12,bank!$J:$J,1)</f>
        <v/>
      </c>
      <c r="F12" s="40">
        <f>SUMIFS(bank!$G:$G,bank!$I:$I,$A12,bank!$J:$J,2)</f>
        <v/>
      </c>
      <c r="G12" s="40">
        <f>#REF!-#REF!</f>
        <v/>
      </c>
      <c r="H12" s="41">
        <f>#REF!-#REF!</f>
        <v/>
      </c>
    </row>
    <row r="13">
      <c r="A13" s="16" t="inlineStr">
        <is>
          <t>Jalilova Roxila Shomirzayevna</t>
        </is>
      </c>
      <c r="B13" s="17" t="n">
        <v>115</v>
      </c>
      <c r="C13" s="36" t="n">
        <v>0</v>
      </c>
      <c r="D13" s="36" t="n">
        <v>8500000</v>
      </c>
      <c r="E13" s="37">
        <f>SUMIFS(bank!$G:$G,bank!$I:$I,$A13,bank!$J:$J,1)</f>
        <v/>
      </c>
      <c r="F13" s="37">
        <f>SUMIFS(bank!$G:$G,bank!$I:$I,$A13,bank!$J:$J,2)</f>
        <v/>
      </c>
      <c r="G13" s="37">
        <f>#REF!-#REF!</f>
        <v/>
      </c>
      <c r="H13" s="38">
        <f>#REF!-#REF!</f>
        <v/>
      </c>
    </row>
    <row r="14">
      <c r="A14" s="12" t="inlineStr">
        <is>
          <t xml:space="preserve">Jo'rayeva Moxinur Sulton qizi </t>
        </is>
      </c>
      <c r="B14" s="17" t="n">
        <v>101</v>
      </c>
      <c r="C14" s="39" t="n">
        <v>0</v>
      </c>
      <c r="D14" s="39" t="n">
        <v>8500000</v>
      </c>
      <c r="E14" s="40">
        <f>SUMIFS(bank!$G:$G,bank!$I:$I,$A14,bank!$J:$J,1)</f>
        <v/>
      </c>
      <c r="F14" s="40">
        <f>SUMIFS(bank!$G:$G,bank!$I:$I,$A14,bank!$J:$J,2)</f>
        <v/>
      </c>
      <c r="G14" s="40">
        <f>#REF!-#REF!</f>
        <v/>
      </c>
      <c r="H14" s="41">
        <f>#REF!-#REF!</f>
        <v/>
      </c>
    </row>
    <row r="15">
      <c r="A15" s="16" t="inlineStr">
        <is>
          <t>Muhiddinova Gulchehra Qo'ziboy qizi</t>
        </is>
      </c>
      <c r="B15" s="17" t="n">
        <v>116</v>
      </c>
      <c r="C15" s="36" t="n">
        <v>0</v>
      </c>
      <c r="D15" s="36" t="n">
        <v>8500000</v>
      </c>
      <c r="E15" s="37">
        <f>SUMIFS(bank!$G:$G,bank!$I:$I,$A15,bank!$J:$J,1)</f>
        <v/>
      </c>
      <c r="F15" s="37">
        <f>SUMIFS(bank!$G:$G,bank!$I:$I,$A15,bank!$J:$J,2)</f>
        <v/>
      </c>
      <c r="G15" s="37">
        <f>#REF!-#REF!</f>
        <v/>
      </c>
      <c r="H15" s="38">
        <f>#REF!-#REF!</f>
        <v/>
      </c>
    </row>
    <row r="16">
      <c r="A16" s="12" t="inlineStr">
        <is>
          <t>MURTAZAEVA IRODA MUMIN QIZI</t>
        </is>
      </c>
      <c r="B16" s="17" t="n">
        <v>116</v>
      </c>
      <c r="C16" s="39" t="n">
        <v>8500000</v>
      </c>
      <c r="D16" s="39" t="n">
        <v>0</v>
      </c>
      <c r="E16" s="40">
        <f>SUMIFS(bank!$G:$G,bank!$I:$I,$A16,bank!$J:$J,1)</f>
        <v/>
      </c>
      <c r="F16" s="40">
        <f>SUMIFS(bank!$G:$G,bank!$I:$I,$A16,bank!$J:$J,2)</f>
        <v/>
      </c>
      <c r="G16" s="40">
        <f>#REF!-#REF!</f>
        <v/>
      </c>
      <c r="H16" s="41">
        <f>#REF!-#REF!</f>
        <v/>
      </c>
    </row>
    <row r="17">
      <c r="A17" s="16" t="inlineStr">
        <is>
          <t>Murtazayeva Iroda Mo'min qizi</t>
        </is>
      </c>
      <c r="B17" s="17" t="n">
        <v>116</v>
      </c>
      <c r="C17" s="36" t="n">
        <v>0</v>
      </c>
      <c r="D17" s="36" t="n">
        <v>8500000</v>
      </c>
      <c r="E17" s="37">
        <f>SUMIFS(bank!$G:$G,bank!$I:$I,$A17,bank!$J:$J,1)</f>
        <v/>
      </c>
      <c r="F17" s="37">
        <f>SUMIFS(bank!$G:$G,bank!$I:$I,$A17,bank!$J:$J,2)</f>
        <v/>
      </c>
      <c r="G17" s="37">
        <f>#REF!-#REF!</f>
        <v/>
      </c>
      <c r="H17" s="38">
        <f>#REF!-#REF!</f>
        <v/>
      </c>
    </row>
    <row r="18">
      <c r="A18" s="12" t="inlineStr">
        <is>
          <t xml:space="preserve">Otamurodova Xolida Ilxomjon qizi </t>
        </is>
      </c>
      <c r="B18" s="17" t="n">
        <v>115</v>
      </c>
      <c r="C18" s="39" t="n">
        <v>0</v>
      </c>
      <c r="D18" s="39" t="n">
        <v>8500000</v>
      </c>
      <c r="E18" s="40">
        <f>SUMIFS(bank!$G:$G,bank!$I:$I,$A18,bank!$J:$J,1)</f>
        <v/>
      </c>
      <c r="F18" s="40">
        <f>SUMIFS(bank!$G:$G,bank!$I:$I,$A18,bank!$J:$J,2)</f>
        <v/>
      </c>
      <c r="G18" s="40">
        <f>#REF!-#REF!</f>
        <v/>
      </c>
      <c r="H18" s="41">
        <f>#REF!-#REF!</f>
        <v/>
      </c>
    </row>
    <row r="19">
      <c r="A19" s="16" t="inlineStr">
        <is>
          <t xml:space="preserve">Quvvataliyeva Noila Fazliddinovna </t>
        </is>
      </c>
      <c r="B19" s="17" t="n">
        <v>115</v>
      </c>
      <c r="C19" s="36" t="n">
        <v>0</v>
      </c>
      <c r="D19" s="36" t="n">
        <v>8500000</v>
      </c>
      <c r="E19" s="37">
        <f>SUMIFS(bank!$G:$G,bank!$I:$I,$A19,bank!$J:$J,1)</f>
        <v/>
      </c>
      <c r="F19" s="37">
        <f>SUMIFS(bank!$G:$G,bank!$I:$I,$A19,bank!$J:$J,2)</f>
        <v/>
      </c>
      <c r="G19" s="37">
        <f>#REF!-#REF!</f>
        <v/>
      </c>
      <c r="H19" s="38">
        <f>#REF!-#REF!</f>
        <v/>
      </c>
    </row>
    <row r="20">
      <c r="A20" s="12" t="inlineStr">
        <is>
          <t>Rahmonqulovna Sevinch Rashid qizi</t>
        </is>
      </c>
      <c r="B20" s="17" t="n">
        <v>205</v>
      </c>
      <c r="C20" s="39" t="n">
        <v>8500000</v>
      </c>
      <c r="D20" s="39" t="n">
        <v>0</v>
      </c>
      <c r="E20" s="40">
        <f>SUMIFS(bank!$G:$G,bank!$I:$I,$A20,bank!$J:$J,1)</f>
        <v/>
      </c>
      <c r="F20" s="40">
        <f>SUMIFS(bank!$G:$G,bank!$I:$I,$A20,bank!$J:$J,2)</f>
        <v/>
      </c>
      <c r="G20" s="40">
        <f>#REF!-#REF!</f>
        <v/>
      </c>
      <c r="H20" s="41">
        <f>#REF!-#REF!</f>
        <v/>
      </c>
    </row>
    <row r="21">
      <c r="A21" s="16" t="inlineStr">
        <is>
          <t>Shodiyeva Sevinch Shavkat qizi</t>
        </is>
      </c>
      <c r="B21" s="17" t="n">
        <v>115</v>
      </c>
      <c r="C21" s="42" t="n">
        <v>8500000</v>
      </c>
      <c r="D21" s="42" t="n">
        <v>8500000</v>
      </c>
      <c r="E21" s="37">
        <f>SUMIFS(bank!$G:$G,bank!$I:$I,$A21,bank!$J:$J,1)</f>
        <v/>
      </c>
      <c r="F21" s="37">
        <f>SUMIFS(bank!$G:$G,bank!$I:$I,$A21,bank!$J:$J,2)</f>
        <v/>
      </c>
      <c r="G21" s="37">
        <f>#REF!-#REF!</f>
        <v/>
      </c>
      <c r="H21" s="38">
        <f>#REF!-#REF!</f>
        <v/>
      </c>
    </row>
    <row r="22">
      <c r="A22" s="12" t="inlineStr">
        <is>
          <t>Vaydullayeva Farangiz Fayzullayevna</t>
        </is>
      </c>
      <c r="B22" s="17" t="n">
        <v>101</v>
      </c>
      <c r="C22" s="39" t="n">
        <v>0</v>
      </c>
      <c r="D22" s="39" t="n">
        <v>8500000</v>
      </c>
      <c r="E22" s="40">
        <f>SUMIFS(bank!$G:$G,bank!$I:$I,$A22,bank!$J:$J,1)</f>
        <v/>
      </c>
      <c r="F22" s="40">
        <f>SUMIFS(bank!$G:$G,bank!$I:$I,$A22,bank!$J:$J,2)</f>
        <v/>
      </c>
      <c r="G22" s="40">
        <f>#REF!-#REF!</f>
        <v/>
      </c>
      <c r="H22" s="41">
        <f>#REF!-#REF!</f>
        <v/>
      </c>
    </row>
    <row r="23">
      <c r="A23" s="16" t="inlineStr">
        <is>
          <t>Xurramova Go'zal Rustam qizi</t>
        </is>
      </c>
      <c r="B23" s="17" t="n">
        <v>116</v>
      </c>
      <c r="C23" s="36" t="n">
        <v>0</v>
      </c>
      <c r="D23" s="36" t="n">
        <v>8500000</v>
      </c>
      <c r="E23" s="37">
        <f>SUMIFS(bank!$G:$G,bank!$I:$I,$A23,bank!$J:$J,1)</f>
        <v/>
      </c>
      <c r="F23" s="37">
        <f>SUMIFS(bank!$G:$G,bank!$I:$I,$A23,bank!$J:$J,2)</f>
        <v/>
      </c>
      <c r="G23" s="37">
        <f>#REF!-#REF!</f>
        <v/>
      </c>
      <c r="H23" s="38">
        <f>#REF!-#REF!</f>
        <v/>
      </c>
    </row>
    <row r="24">
      <c r="A24" s="12" t="inlineStr">
        <is>
          <t>Yo'ldosheva Barno Zoir qizi</t>
        </is>
      </c>
      <c r="B24" s="17" t="n">
        <v>116</v>
      </c>
      <c r="C24" s="39" t="n">
        <v>0</v>
      </c>
      <c r="D24" s="39" t="n">
        <v>8500000</v>
      </c>
      <c r="E24" s="40">
        <f>SUMIFS(bank!$G:$G,bank!$I:$I,$A24,bank!$J:$J,1)</f>
        <v/>
      </c>
      <c r="F24" s="40">
        <f>SUMIFS(bank!$G:$G,bank!$I:$I,$A24,bank!$J:$J,2)</f>
        <v/>
      </c>
      <c r="G24" s="40">
        <f>#REF!-#REF!</f>
        <v/>
      </c>
      <c r="H24" s="41">
        <f>#REF!-#REF!</f>
        <v/>
      </c>
    </row>
    <row r="25">
      <c r="A25" t="inlineStr">
        <is>
          <t>G'ulomova Sevinch Umurzoq qizi</t>
        </is>
      </c>
      <c r="B25" s="13" t="n">
        <v>103</v>
      </c>
      <c r="C25" s="33" t="n">
        <v>0</v>
      </c>
      <c r="D25" s="33" t="n">
        <v>8500000</v>
      </c>
      <c r="E25" s="44">
        <f>SUMIFS(bank!$G:$G,bank!$I:$I,$A25,bank!$J:$J,1)</f>
        <v/>
      </c>
      <c r="F25" s="44">
        <f>SUMIFS(bank!$G:$G,bank!$I:$I,$A25,bank!$J:$J,2)</f>
        <v/>
      </c>
      <c r="G25" s="44">
        <f>#REF!-#REF!</f>
        <v/>
      </c>
      <c r="H25" s="44">
        <f>#REF!-#REF!</f>
        <v/>
      </c>
      <c r="I25" t="inlineStr">
        <is>
          <t>+</t>
        </is>
      </c>
    </row>
    <row r="26">
      <c r="A26" t="inlineStr">
        <is>
          <t>Nematjonova Marjona Tuychi qizi</t>
        </is>
      </c>
      <c r="B26" s="13" t="n">
        <v>103</v>
      </c>
      <c r="C26" s="33" t="n">
        <v>0</v>
      </c>
      <c r="D26" s="33" t="n">
        <v>8550000</v>
      </c>
      <c r="E26" s="44">
        <f>SUMIFS(bank!$G:$G,bank!$I:$I,$A26,bank!$J:$J,1)</f>
        <v/>
      </c>
      <c r="F26" s="44">
        <f>SUMIFS(bank!$G:$G,bank!$I:$I,$A26,bank!$J:$J,2)</f>
        <v/>
      </c>
      <c r="G26" s="44">
        <f>#REF!-#REF!</f>
        <v/>
      </c>
      <c r="H26" s="44">
        <f>#REF!-#REF!</f>
        <v/>
      </c>
      <c r="I26" t="inlineStr">
        <is>
          <t>+</t>
        </is>
      </c>
    </row>
    <row r="27">
      <c r="A27" s="12" t="inlineStr">
        <is>
          <t>Ahmadova Sevinch Lazizjon qizi</t>
        </is>
      </c>
      <c r="B27" s="17" t="n">
        <v>108</v>
      </c>
      <c r="C27" s="39" t="n">
        <v>0</v>
      </c>
      <c r="D27" s="39" t="n">
        <v>8500000</v>
      </c>
      <c r="E27" s="40">
        <f>SUMIFS(bank!$G:$G,bank!$I:$I,$A27,bank!$J:$J,1)</f>
        <v/>
      </c>
      <c r="F27" s="40">
        <f>SUMIFS(bank!$G:$G,bank!$I:$I,$A27,bank!$J:$J,2)</f>
        <v/>
      </c>
      <c r="G27" s="40">
        <f>#REF!-#REF!</f>
        <v/>
      </c>
      <c r="H27" s="41">
        <f>#REF!-#REF!</f>
        <v/>
      </c>
    </row>
    <row r="28">
      <c r="A28" s="16" t="inlineStr">
        <is>
          <t xml:space="preserve">Ubaydullayeva Zuhra Zokir qizi </t>
        </is>
      </c>
      <c r="B28" s="17" t="n">
        <v>108</v>
      </c>
      <c r="C28" s="36" t="n">
        <v>0</v>
      </c>
      <c r="D28" s="36" t="n">
        <v>8500000</v>
      </c>
      <c r="E28" s="37">
        <f>SUMIFS(bank!$G:$G,bank!$I:$I,$A28,bank!$J:$J,1)</f>
        <v/>
      </c>
      <c r="F28" s="37">
        <f>SUMIFS(bank!$G:$G,bank!$I:$I,$A28,bank!$J:$J,2)</f>
        <v/>
      </c>
      <c r="G28" s="37">
        <f>#REF!-#REF!</f>
        <v/>
      </c>
      <c r="H28" s="38">
        <f>#REF!-#REF!</f>
        <v/>
      </c>
    </row>
  </sheetData>
  <conditionalFormatting sqref="A1">
    <cfRule type="duplicateValues" priority="85" dxfId="0"/>
    <cfRule type="duplicateValues" priority="86" dxfId="0"/>
    <cfRule type="duplicateValues" priority="87" dxfId="0"/>
  </conditionalFormatting>
  <conditionalFormatting sqref="A2">
    <cfRule type="duplicateValues" priority="79" dxfId="0"/>
    <cfRule type="duplicateValues" priority="80" dxfId="0"/>
    <cfRule type="duplicateValues" priority="81" dxfId="0"/>
  </conditionalFormatting>
  <conditionalFormatting sqref="A3">
    <cfRule type="duplicateValues" priority="76" dxfId="0"/>
    <cfRule type="duplicateValues" priority="77" dxfId="0"/>
    <cfRule type="duplicateValues" priority="78" dxfId="0"/>
  </conditionalFormatting>
  <conditionalFormatting sqref="A4">
    <cfRule type="duplicateValues" priority="73" dxfId="0"/>
    <cfRule type="duplicateValues" priority="74" dxfId="0"/>
    <cfRule type="duplicateValues" priority="75" dxfId="0"/>
  </conditionalFormatting>
  <conditionalFormatting sqref="A5">
    <cfRule type="duplicateValues" priority="70" dxfId="0"/>
    <cfRule type="duplicateValues" priority="71" dxfId="0"/>
    <cfRule type="duplicateValues" priority="72" dxfId="0"/>
  </conditionalFormatting>
  <conditionalFormatting sqref="A6">
    <cfRule type="duplicateValues" priority="67" dxfId="0"/>
    <cfRule type="duplicateValues" priority="68" dxfId="0"/>
    <cfRule type="duplicateValues" priority="69" dxfId="0"/>
  </conditionalFormatting>
  <conditionalFormatting sqref="A7">
    <cfRule type="duplicateValues" priority="64" dxfId="0"/>
    <cfRule type="duplicateValues" priority="65" dxfId="0"/>
    <cfRule type="duplicateValues" priority="66" dxfId="0"/>
  </conditionalFormatting>
  <conditionalFormatting sqref="A8">
    <cfRule type="duplicateValues" priority="61" dxfId="0"/>
    <cfRule type="duplicateValues" priority="62" dxfId="0"/>
    <cfRule type="duplicateValues" priority="63" dxfId="0"/>
  </conditionalFormatting>
  <conditionalFormatting sqref="A9">
    <cfRule type="duplicateValues" priority="58" dxfId="0"/>
    <cfRule type="duplicateValues" priority="59" dxfId="0"/>
    <cfRule type="duplicateValues" priority="60" dxfId="0"/>
  </conditionalFormatting>
  <conditionalFormatting sqref="A10">
    <cfRule type="duplicateValues" priority="55" dxfId="0"/>
    <cfRule type="duplicateValues" priority="56" dxfId="0"/>
    <cfRule type="duplicateValues" priority="57" dxfId="0"/>
  </conditionalFormatting>
  <conditionalFormatting sqref="A11">
    <cfRule type="duplicateValues" priority="52" dxfId="0"/>
    <cfRule type="duplicateValues" priority="53" dxfId="0"/>
    <cfRule type="duplicateValues" priority="54" dxfId="0"/>
  </conditionalFormatting>
  <conditionalFormatting sqref="A12">
    <cfRule type="duplicateValues" priority="49" dxfId="0"/>
    <cfRule type="duplicateValues" priority="50" dxfId="0"/>
    <cfRule type="duplicateValues" priority="51" dxfId="0"/>
  </conditionalFormatting>
  <conditionalFormatting sqref="A13">
    <cfRule type="duplicateValues" priority="46" dxfId="0"/>
    <cfRule type="duplicateValues" priority="47" dxfId="0"/>
    <cfRule type="duplicateValues" priority="48" dxfId="0"/>
  </conditionalFormatting>
  <conditionalFormatting sqref="A14">
    <cfRule type="duplicateValues" priority="43" dxfId="0"/>
    <cfRule type="duplicateValues" priority="44" dxfId="0"/>
    <cfRule type="duplicateValues" priority="45" dxfId="0"/>
  </conditionalFormatting>
  <conditionalFormatting sqref="A15">
    <cfRule type="duplicateValues" priority="40" dxfId="0"/>
    <cfRule type="duplicateValues" priority="41" dxfId="0"/>
    <cfRule type="duplicateValues" priority="42" dxfId="0"/>
  </conditionalFormatting>
  <conditionalFormatting sqref="A16">
    <cfRule type="duplicateValues" priority="37" dxfId="0"/>
    <cfRule type="duplicateValues" priority="38" dxfId="0"/>
    <cfRule type="duplicateValues" priority="39" dxfId="0"/>
  </conditionalFormatting>
  <conditionalFormatting sqref="A17">
    <cfRule type="duplicateValues" priority="34" dxfId="0"/>
    <cfRule type="duplicateValues" priority="35" dxfId="0"/>
    <cfRule type="duplicateValues" priority="36" dxfId="0"/>
  </conditionalFormatting>
  <conditionalFormatting sqref="A18">
    <cfRule type="duplicateValues" priority="31" dxfId="0"/>
    <cfRule type="duplicateValues" priority="32" dxfId="0"/>
    <cfRule type="duplicateValues" priority="33" dxfId="0"/>
  </conditionalFormatting>
  <conditionalFormatting sqref="A19">
    <cfRule type="duplicateValues" priority="28" dxfId="0"/>
    <cfRule type="duplicateValues" priority="29" dxfId="0"/>
    <cfRule type="duplicateValues" priority="30" dxfId="0"/>
  </conditionalFormatting>
  <conditionalFormatting sqref="A20">
    <cfRule type="duplicateValues" priority="25" dxfId="0"/>
    <cfRule type="duplicateValues" priority="26" dxfId="0"/>
    <cfRule type="duplicateValues" priority="27" dxfId="0"/>
  </conditionalFormatting>
  <conditionalFormatting sqref="A21">
    <cfRule type="duplicateValues" priority="22" dxfId="0"/>
    <cfRule type="duplicateValues" priority="23" dxfId="0"/>
    <cfRule type="duplicateValues" priority="24" dxfId="0"/>
  </conditionalFormatting>
  <conditionalFormatting sqref="A22">
    <cfRule type="duplicateValues" priority="19" dxfId="0"/>
    <cfRule type="duplicateValues" priority="20" dxfId="0"/>
    <cfRule type="duplicateValues" priority="21" dxfId="0"/>
  </conditionalFormatting>
  <conditionalFormatting sqref="A23">
    <cfRule type="duplicateValues" priority="16" dxfId="0"/>
    <cfRule type="duplicateValues" priority="17" dxfId="0"/>
    <cfRule type="duplicateValues" priority="18" dxfId="0"/>
  </conditionalFormatting>
  <conditionalFormatting sqref="A24">
    <cfRule type="duplicateValues" priority="13" dxfId="0"/>
    <cfRule type="duplicateValues" priority="14" dxfId="0"/>
    <cfRule type="duplicateValues" priority="15" dxfId="0"/>
  </conditionalFormatting>
  <conditionalFormatting sqref="A25">
    <cfRule type="duplicateValues" priority="10" dxfId="0"/>
    <cfRule type="duplicateValues" priority="11" dxfId="0"/>
    <cfRule type="duplicateValues" priority="12" dxfId="0"/>
  </conditionalFormatting>
  <conditionalFormatting sqref="A26">
    <cfRule type="duplicateValues" priority="7" dxfId="0"/>
    <cfRule type="duplicateValues" priority="8" dxfId="0"/>
    <cfRule type="duplicateValues" priority="9" dxfId="0"/>
  </conditionalFormatting>
  <conditionalFormatting sqref="A27">
    <cfRule type="duplicateValues" priority="4" dxfId="0"/>
    <cfRule type="duplicateValues" priority="5" dxfId="0"/>
    <cfRule type="duplicateValues" priority="6" dxfId="0"/>
  </conditionalFormatting>
  <conditionalFormatting sqref="A28">
    <cfRule type="duplicateValues" priority="1" dxfId="0"/>
    <cfRule type="duplicateValues" priority="2" dxfId="0"/>
    <cfRule type="duplicateValues" priority="3" dxfId="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D64" sqref="D64"/>
    </sheetView>
  </sheetViews>
  <sheetFormatPr baseColWidth="8" defaultColWidth="8.85546875" defaultRowHeight="15"/>
  <cols>
    <col width="40.85546875" customWidth="1" min="1" max="1"/>
    <col width="23" customWidth="1" min="3" max="3"/>
    <col width="12.42578125" customWidth="1" min="4" max="4"/>
    <col width="15.140625" customWidth="1" min="5" max="5"/>
  </cols>
  <sheetData>
    <row r="1">
      <c r="A1" s="16" t="inlineStr">
        <is>
          <t>ABDUSAMATOVA LAYLO ISOMIDDIN QIZI</t>
        </is>
      </c>
      <c r="B1" s="17" t="n">
        <v>114</v>
      </c>
      <c r="C1" s="36" t="n">
        <v>8500000</v>
      </c>
      <c r="D1" s="36" t="n">
        <v>0</v>
      </c>
      <c r="E1" s="37">
        <f>SUMIFS(bank!$G:$G,bank!$I:$I,$A1,bank!$J:$J,1)</f>
        <v/>
      </c>
      <c r="F1" s="37">
        <f>SUMIFS(bank!$G:$G,bank!$I:$I,$A1,bank!$J:$J,2)</f>
        <v/>
      </c>
      <c r="G1" s="37">
        <f>#REF!-#REF!</f>
        <v/>
      </c>
      <c r="H1" s="38">
        <f>#REF!-#REF!</f>
        <v/>
      </c>
    </row>
    <row r="2">
      <c r="A2" s="16" t="inlineStr">
        <is>
          <t>AVAZOVA LOBAR AXTAM QIZI</t>
        </is>
      </c>
      <c r="B2" s="17" t="n">
        <v>114</v>
      </c>
      <c r="C2" s="36" t="n">
        <v>8500000</v>
      </c>
      <c r="D2" s="36" t="n">
        <v>0</v>
      </c>
      <c r="E2" s="37">
        <f>SUMIFS(bank!$G:$G,bank!$I:$I,$A2,bank!$J:$J,1)</f>
        <v/>
      </c>
      <c r="F2" s="37">
        <f>SUMIFS(bank!$G:$G,bank!$I:$I,$A2,bank!$J:$J,2)</f>
        <v/>
      </c>
      <c r="G2" s="37">
        <f>#REF!-#REF!</f>
        <v/>
      </c>
      <c r="H2" s="38">
        <f>#REF!-#REF!</f>
        <v/>
      </c>
    </row>
    <row r="3">
      <c r="A3" s="12" t="inlineStr">
        <is>
          <t>AHMADOVA ZEBO HOSHIM QIZI</t>
        </is>
      </c>
      <c r="B3" s="17" t="n">
        <v>114</v>
      </c>
      <c r="C3" s="39" t="n">
        <v>8500000</v>
      </c>
      <c r="D3" s="39" t="n">
        <v>0</v>
      </c>
      <c r="E3" s="40">
        <f>SUMIFS(bank!$G:$G,bank!$I:$I,$A3,bank!$J:$J,1)</f>
        <v/>
      </c>
      <c r="F3" s="40">
        <f>SUMIFS(bank!$G:$G,bank!$I:$I,$A3,bank!$J:$J,2)</f>
        <v/>
      </c>
      <c r="G3" s="40">
        <f>#REF!-#REF!</f>
        <v/>
      </c>
      <c r="H3" s="41">
        <f>#REF!-#REF!</f>
        <v/>
      </c>
    </row>
    <row r="4">
      <c r="A4" s="16" t="inlineStr">
        <is>
          <t>BOYMUROTOVA MUXLISA SHERALI QIZI</t>
        </is>
      </c>
      <c r="B4" s="17" t="n">
        <v>114</v>
      </c>
      <c r="C4" s="36" t="n">
        <v>8500000</v>
      </c>
      <c r="D4" s="36" t="n">
        <v>0</v>
      </c>
      <c r="E4" s="37">
        <f>SUMIFS(bank!$G:$G,bank!$I:$I,$A4,bank!$J:$J,1)</f>
        <v/>
      </c>
      <c r="F4" s="37">
        <f>SUMIFS(bank!$G:$G,bank!$I:$I,$A4,bank!$J:$J,2)</f>
        <v/>
      </c>
      <c r="G4" s="37">
        <f>#REF!-#REF!</f>
        <v/>
      </c>
      <c r="H4" s="38">
        <f>#REF!-#REF!</f>
        <v/>
      </c>
    </row>
    <row r="5">
      <c r="A5" s="12" t="inlineStr">
        <is>
          <t>CHO‘LLIYEVA SEVINCH AZAMJON QIZI</t>
        </is>
      </c>
      <c r="B5" s="17" t="n">
        <v>114</v>
      </c>
      <c r="C5" s="39" t="n">
        <v>8500000</v>
      </c>
      <c r="D5" s="39" t="n">
        <v>0</v>
      </c>
      <c r="E5" s="40">
        <f>SUMIFS(bank!$G:$G,bank!$I:$I,$A5,bank!$J:$J,1)</f>
        <v/>
      </c>
      <c r="F5" s="40">
        <f>SUMIFS(bank!$G:$G,bank!$I:$I,$A5,bank!$J:$J,2)</f>
        <v/>
      </c>
      <c r="G5" s="40">
        <f>#REF!-#REF!</f>
        <v/>
      </c>
      <c r="H5" s="41">
        <f>#REF!-#REF!</f>
        <v/>
      </c>
    </row>
    <row r="6">
      <c r="A6" s="12" t="inlineStr">
        <is>
          <t>ESANOVA MADINA JALOL QIZI</t>
        </is>
      </c>
      <c r="B6" s="17" t="n">
        <v>114</v>
      </c>
      <c r="C6" s="39" t="n">
        <v>8500000</v>
      </c>
      <c r="D6" s="39" t="n">
        <v>0</v>
      </c>
      <c r="E6" s="40">
        <f>SUMIFS(bank!$G:$G,bank!$I:$I,$A6,bank!$J:$J,1)</f>
        <v/>
      </c>
      <c r="F6" s="40">
        <f>SUMIFS(bank!$G:$G,bank!$I:$I,$A6,bank!$J:$J,2)</f>
        <v/>
      </c>
      <c r="G6" s="40">
        <f>#REF!-#REF!</f>
        <v/>
      </c>
      <c r="H6" s="41">
        <f>#REF!-#REF!</f>
        <v/>
      </c>
    </row>
    <row r="7">
      <c r="A7" s="16" t="inlineStr">
        <is>
          <t>FAXRIDDINOVA CHAROS XXX</t>
        </is>
      </c>
      <c r="B7" s="17" t="n">
        <v>114</v>
      </c>
      <c r="C7" s="36" t="n">
        <v>8500000</v>
      </c>
      <c r="D7" s="36" t="n">
        <v>0</v>
      </c>
      <c r="E7" s="37">
        <f>SUMIFS(bank!$G:$G,bank!$I:$I,$A7,bank!$J:$J,1)</f>
        <v/>
      </c>
      <c r="F7" s="37">
        <f>SUMIFS(bank!$G:$G,bank!$I:$I,$A7,bank!$J:$J,2)</f>
        <v/>
      </c>
      <c r="G7" s="37">
        <f>#REF!-#REF!</f>
        <v/>
      </c>
      <c r="H7" s="38">
        <f>#REF!-#REF!</f>
        <v/>
      </c>
    </row>
    <row r="8">
      <c r="A8" s="12" t="inlineStr">
        <is>
          <t>G‘AYRATOVA RUHSHONA MAQSUD QIZI</t>
        </is>
      </c>
      <c r="B8" s="17" t="n">
        <v>114</v>
      </c>
      <c r="C8" s="39" t="n">
        <v>8500000</v>
      </c>
      <c r="D8" s="39" t="n">
        <v>0</v>
      </c>
      <c r="E8" s="40">
        <f>SUMIFS(bank!$G:$G,bank!$I:$I,$A8,bank!$J:$J,1)</f>
        <v/>
      </c>
      <c r="F8" s="40">
        <f>SUMIFS(bank!$G:$G,bank!$I:$I,$A8,bank!$J:$J,2)</f>
        <v/>
      </c>
      <c r="G8" s="40">
        <f>#REF!-#REF!</f>
        <v/>
      </c>
      <c r="H8" s="41">
        <f>#REF!-#REF!</f>
        <v/>
      </c>
    </row>
    <row r="9">
      <c r="A9" s="12" t="inlineStr">
        <is>
          <t>JO‘RAQULOVA FERUZA AHMADJON QIZI</t>
        </is>
      </c>
      <c r="B9" s="17" t="n">
        <v>114</v>
      </c>
      <c r="C9" s="39" t="n">
        <v>8500000</v>
      </c>
      <c r="D9" s="39" t="n">
        <v>0</v>
      </c>
      <c r="E9" s="40">
        <f>SUMIFS(bank!$G:$G,bank!$I:$I,$A9,bank!$J:$J,1)</f>
        <v/>
      </c>
      <c r="F9" s="40">
        <f>SUMIFS(bank!$G:$G,bank!$I:$I,$A9,bank!$J:$J,2)</f>
        <v/>
      </c>
      <c r="G9" s="40">
        <f>#REF!-#REF!</f>
        <v/>
      </c>
      <c r="H9" s="41">
        <f>#REF!-#REF!</f>
        <v/>
      </c>
    </row>
    <row r="10">
      <c r="A10" s="16" t="inlineStr">
        <is>
          <t>MINGALIYEVA UMIDA MARATOVNA</t>
        </is>
      </c>
      <c r="B10" s="17" t="n">
        <v>114</v>
      </c>
      <c r="C10" s="36" t="n">
        <v>8500000</v>
      </c>
      <c r="D10" s="36" t="n">
        <v>0</v>
      </c>
      <c r="E10" s="37">
        <f>SUMIFS(bank!$G:$G,bank!$I:$I,$A10,bank!$J:$J,1)</f>
        <v/>
      </c>
      <c r="F10" s="37">
        <f>SUMIFS(bank!$G:$G,bank!$I:$I,$A10,bank!$J:$J,2)</f>
        <v/>
      </c>
      <c r="G10" s="37">
        <f>#REF!-#REF!</f>
        <v/>
      </c>
      <c r="H10" s="38">
        <f>#REF!-#REF!</f>
        <v/>
      </c>
    </row>
    <row r="11">
      <c r="A11" s="16" t="inlineStr">
        <is>
          <t>MIROVA FARIDA</t>
        </is>
      </c>
      <c r="B11" s="17" t="n">
        <v>114</v>
      </c>
      <c r="C11" s="36" t="n">
        <v>8500000</v>
      </c>
      <c r="D11" s="36" t="n">
        <v>0</v>
      </c>
      <c r="E11" s="37">
        <f>SUMIFS(bank!$G:$G,bank!$I:$I,$A11,bank!$J:$J,1)</f>
        <v/>
      </c>
      <c r="F11" s="37">
        <f>SUMIFS(bank!$G:$G,bank!$I:$I,$A11,bank!$J:$J,2)</f>
        <v/>
      </c>
      <c r="G11" s="37">
        <f>#REF!-#REF!</f>
        <v/>
      </c>
      <c r="H11" s="38">
        <f>#REF!-#REF!</f>
        <v/>
      </c>
    </row>
    <row r="12">
      <c r="A12" s="16" t="inlineStr">
        <is>
          <t>NURMATOVA AZIZA RENATOVNA</t>
        </is>
      </c>
      <c r="B12" s="17" t="n">
        <v>114</v>
      </c>
      <c r="C12" s="36" t="n">
        <v>8500000</v>
      </c>
      <c r="D12" s="36" t="n">
        <v>0</v>
      </c>
      <c r="E12" s="37">
        <f>SUMIFS(bank!$G:$G,bank!$I:$I,$A12,bank!$J:$J,1)</f>
        <v/>
      </c>
      <c r="F12" s="37">
        <f>SUMIFS(bank!$G:$G,bank!$I:$I,$A12,bank!$J:$J,2)</f>
        <v/>
      </c>
      <c r="G12" s="37">
        <f>#REF!-#REF!</f>
        <v/>
      </c>
      <c r="H12" s="38">
        <f>#REF!-#REF!</f>
        <v/>
      </c>
    </row>
    <row r="13">
      <c r="A13" s="12" t="inlineStr">
        <is>
          <t>OBIDJONOVA ZULAYXO OBIDJON QIZI</t>
        </is>
      </c>
      <c r="B13" s="17" t="n">
        <v>114</v>
      </c>
      <c r="C13" s="39" t="n">
        <v>8500000</v>
      </c>
      <c r="D13" s="39" t="n">
        <v>0</v>
      </c>
      <c r="E13" s="40">
        <f>SUMIFS(bank!$G:$G,bank!$I:$I,$A13,bank!$J:$J,1)</f>
        <v/>
      </c>
      <c r="F13" s="40">
        <f>SUMIFS(bank!$G:$G,bank!$I:$I,$A13,bank!$J:$J,2)</f>
        <v/>
      </c>
      <c r="G13" s="40">
        <f>#REF!-#REF!</f>
        <v/>
      </c>
      <c r="H13" s="41">
        <f>#REF!-#REF!</f>
        <v/>
      </c>
    </row>
    <row r="14">
      <c r="A14" s="12" t="inlineStr">
        <is>
          <t>OSTONOVA SHAXZODA XASANOVNA</t>
        </is>
      </c>
      <c r="B14" s="17" t="n">
        <v>114</v>
      </c>
      <c r="C14" s="39" t="n">
        <v>8500000</v>
      </c>
      <c r="D14" s="39" t="n">
        <v>0</v>
      </c>
      <c r="E14" s="40">
        <f>SUMIFS(bank!$G:$G,bank!$I:$I,$A14,bank!$J:$J,1)</f>
        <v/>
      </c>
      <c r="F14" s="40">
        <f>SUMIFS(bank!$G:$G,bank!$I:$I,$A14,bank!$J:$J,2)</f>
        <v/>
      </c>
      <c r="G14" s="40">
        <f>#REF!-#REF!</f>
        <v/>
      </c>
      <c r="H14" s="41">
        <f>#REF!-#REF!</f>
        <v/>
      </c>
    </row>
    <row r="15">
      <c r="A15" s="16" t="inlineStr">
        <is>
          <t>QUYLIYEVA SHAXZODA RAMON QIZI</t>
        </is>
      </c>
      <c r="B15" s="17" t="n">
        <v>114</v>
      </c>
      <c r="C15" s="36" t="n">
        <v>8500000</v>
      </c>
      <c r="D15" s="36" t="n">
        <v>0</v>
      </c>
      <c r="E15" s="37">
        <f>SUMIFS(bank!$G:$G,bank!$I:$I,$A15,bank!$J:$J,1)</f>
        <v/>
      </c>
      <c r="F15" s="37">
        <f>SUMIFS(bank!$G:$G,bank!$I:$I,$A15,bank!$J:$J,2)</f>
        <v/>
      </c>
      <c r="G15" s="37">
        <f>#REF!-#REF!</f>
        <v/>
      </c>
      <c r="H15" s="38">
        <f>#REF!-#REF!</f>
        <v/>
      </c>
    </row>
    <row r="16">
      <c r="A16" s="12" t="inlineStr">
        <is>
          <t>RAXMATOVA KUNDUZOY SODIQ QIZI</t>
        </is>
      </c>
      <c r="B16" s="17" t="n">
        <v>114</v>
      </c>
      <c r="C16" s="39" t="n">
        <v>8500000</v>
      </c>
      <c r="D16" s="39" t="n">
        <v>0</v>
      </c>
      <c r="E16" s="40">
        <f>SUMIFS(bank!$G:$G,bank!$I:$I,$A16,bank!$J:$J,1)</f>
        <v/>
      </c>
      <c r="F16" s="40">
        <f>SUMIFS(bank!$G:$G,bank!$I:$I,$A16,bank!$J:$J,2)</f>
        <v/>
      </c>
      <c r="G16" s="40">
        <f>#REF!-#REF!</f>
        <v/>
      </c>
      <c r="H16" s="41">
        <f>#REF!-#REF!</f>
        <v/>
      </c>
    </row>
    <row r="17">
      <c r="A17" s="16" t="inlineStr">
        <is>
          <t>RUZIYEVA NARGIZA G‘AYRAT QIZI</t>
        </is>
      </c>
      <c r="B17" s="17" t="n">
        <v>114</v>
      </c>
      <c r="C17" s="36" t="n">
        <v>8500000</v>
      </c>
      <c r="D17" s="36" t="n">
        <v>0</v>
      </c>
      <c r="E17" s="37">
        <f>SUMIFS(bank!$G:$G,bank!$I:$I,$A17,bank!$J:$J,1)</f>
        <v/>
      </c>
      <c r="F17" s="37">
        <f>SUMIFS(bank!$G:$G,bank!$I:$I,$A17,bank!$J:$J,2)</f>
        <v/>
      </c>
      <c r="G17" s="37">
        <f>#REF!-#REF!</f>
        <v/>
      </c>
      <c r="H17" s="38">
        <f>#REF!-#REF!</f>
        <v/>
      </c>
    </row>
    <row r="18">
      <c r="A18" s="16" t="inlineStr">
        <is>
          <t>SAFAROVA GUZAL KENJA QIZI</t>
        </is>
      </c>
      <c r="B18" s="17" t="n">
        <v>114</v>
      </c>
      <c r="C18" s="36" t="n">
        <v>8500000</v>
      </c>
      <c r="D18" s="36" t="n">
        <v>0</v>
      </c>
      <c r="E18" s="37">
        <f>SUMIFS(bank!$G:$G,bank!$I:$I,$A18,bank!$J:$J,1)</f>
        <v/>
      </c>
      <c r="F18" s="37">
        <f>SUMIFS(bank!$G:$G,bank!$I:$I,$A18,bank!$J:$J,2)</f>
        <v/>
      </c>
      <c r="G18" s="37">
        <f>#REF!-#REF!</f>
        <v/>
      </c>
      <c r="H18" s="38">
        <f>#REF!-#REF!</f>
        <v/>
      </c>
    </row>
    <row r="19">
      <c r="A19" s="16" t="inlineStr">
        <is>
          <t>SAMATOVA DILAFRUZ TILOVOVNA</t>
        </is>
      </c>
      <c r="B19" s="17" t="n">
        <v>114</v>
      </c>
      <c r="C19" s="36" t="n">
        <v>8500000</v>
      </c>
      <c r="D19" s="36" t="n">
        <v>0</v>
      </c>
      <c r="E19" s="37">
        <f>SUMIFS(bank!$G:$G,bank!$I:$I,$A19,bank!$J:$J,1)</f>
        <v/>
      </c>
      <c r="F19" s="37">
        <f>SUMIFS(bank!$G:$G,bank!$I:$I,$A19,bank!$J:$J,2)</f>
        <v/>
      </c>
      <c r="G19" s="37">
        <f>#REF!-#REF!</f>
        <v/>
      </c>
      <c r="H19" s="38">
        <f>#REF!-#REF!</f>
        <v/>
      </c>
    </row>
    <row r="20">
      <c r="A20" s="16" t="inlineStr">
        <is>
          <t>YULDASHEVA MUXAYYO MAJITOVNA</t>
        </is>
      </c>
      <c r="B20" s="17" t="n">
        <v>114</v>
      </c>
      <c r="C20" s="36" t="n">
        <v>8500000</v>
      </c>
      <c r="D20" s="36" t="n">
        <v>0</v>
      </c>
      <c r="E20" s="37">
        <f>SUMIFS(bank!$G:$G,bank!$I:$I,$A20,bank!$J:$J,1)</f>
        <v/>
      </c>
      <c r="F20" s="37">
        <f>SUMIFS(bank!$G:$G,bank!$I:$I,$A20,bank!$J:$J,2)</f>
        <v/>
      </c>
      <c r="G20" s="37">
        <f>#REF!-#REF!</f>
        <v/>
      </c>
      <c r="H20" s="38">
        <f>#REF!-#REF!</f>
        <v/>
      </c>
    </row>
    <row r="21">
      <c r="A21" s="12" t="inlineStr">
        <is>
          <t>ABDIVALIYEVA MUXLISA ABDISOLI QIZI</t>
        </is>
      </c>
      <c r="B21" s="17" t="n">
        <v>115</v>
      </c>
      <c r="C21" s="39" t="n">
        <v>8500000</v>
      </c>
      <c r="D21" s="39" t="n">
        <v>0</v>
      </c>
      <c r="E21" s="40">
        <f>SUMIFS(bank!$G:$G,bank!$I:$I,$A21,bank!$J:$J,1)</f>
        <v/>
      </c>
      <c r="F21" s="40">
        <f>SUMIFS(bank!$G:$G,bank!$I:$I,$A21,bank!$J:$J,2)</f>
        <v/>
      </c>
      <c r="G21" s="40">
        <f>#REF!-#REF!</f>
        <v/>
      </c>
      <c r="H21" s="41">
        <f>#REF!-#REF!</f>
        <v/>
      </c>
    </row>
    <row r="22">
      <c r="A22" s="16" t="inlineStr">
        <is>
          <t>ABDUJAMILOVA JASMINA JONIBEK QIZI</t>
        </is>
      </c>
      <c r="B22" s="17" t="n">
        <v>115</v>
      </c>
      <c r="C22" s="36" t="n">
        <v>8500000</v>
      </c>
      <c r="D22" s="36" t="n">
        <v>0</v>
      </c>
      <c r="E22" s="37">
        <f>SUMIFS(bank!$G:$G,bank!$I:$I,$A22,bank!$J:$J,1)</f>
        <v/>
      </c>
      <c r="F22" s="37">
        <f>SUMIFS(bank!$G:$G,bank!$I:$I,$A22,bank!$J:$J,2)</f>
        <v/>
      </c>
      <c r="G22" s="37">
        <f>#REF!-#REF!</f>
        <v/>
      </c>
      <c r="H22" s="38">
        <f>#REF!-#REF!</f>
        <v/>
      </c>
    </row>
    <row r="23">
      <c r="A23" s="12" t="inlineStr">
        <is>
          <t>ABDURAXMONOVA MARJONA AKMAL QIZI</t>
        </is>
      </c>
      <c r="B23" s="17" t="n">
        <v>115</v>
      </c>
      <c r="C23" s="39" t="n">
        <v>8500000</v>
      </c>
      <c r="D23" s="39" t="n">
        <v>0</v>
      </c>
      <c r="E23" s="40">
        <f>SUMIFS(bank!$G:$G,bank!$I:$I,$A23,bank!$J:$J,1)</f>
        <v/>
      </c>
      <c r="F23" s="40">
        <f>SUMIFS(bank!$G:$G,bank!$I:$I,$A23,bank!$J:$J,2)</f>
        <v/>
      </c>
      <c r="G23" s="40">
        <f>#REF!-#REF!</f>
        <v/>
      </c>
      <c r="H23" s="41">
        <f>#REF!-#REF!</f>
        <v/>
      </c>
    </row>
    <row r="24">
      <c r="A24" s="16" t="inlineStr">
        <is>
          <t>ASHUROVA IRODA</t>
        </is>
      </c>
      <c r="B24" s="17" t="n">
        <v>115</v>
      </c>
      <c r="C24" s="36" t="n">
        <v>8500000</v>
      </c>
      <c r="D24" s="36" t="n">
        <v>0</v>
      </c>
      <c r="E24" s="37">
        <f>SUMIFS(bank!$G:$G,bank!$I:$I,$A24,bank!$J:$J,1)</f>
        <v/>
      </c>
      <c r="F24" s="37">
        <f>SUMIFS(bank!$G:$G,bank!$I:$I,$A24,bank!$J:$J,2)</f>
        <v/>
      </c>
      <c r="G24" s="37">
        <f>#REF!-#REF!</f>
        <v/>
      </c>
      <c r="H24" s="38">
        <f>#REF!-#REF!</f>
        <v/>
      </c>
    </row>
    <row r="25">
      <c r="A25" s="16" t="inlineStr">
        <is>
          <t>BOBOQULOVA GULZODA BAXODIROVNA</t>
        </is>
      </c>
      <c r="B25" s="17" t="n">
        <v>115</v>
      </c>
      <c r="C25" s="36" t="n">
        <v>8500000</v>
      </c>
      <c r="D25" s="36" t="n">
        <v>0</v>
      </c>
      <c r="E25" s="37">
        <f>SUMIFS(bank!$G:$G,bank!$I:$I,$A25,bank!$J:$J,1)</f>
        <v/>
      </c>
      <c r="F25" s="37">
        <f>SUMIFS(bank!$G:$G,bank!$I:$I,$A25,bank!$J:$J,2)</f>
        <v/>
      </c>
      <c r="G25" s="37">
        <f>#REF!-#REF!</f>
        <v/>
      </c>
      <c r="H25" s="38">
        <f>#REF!-#REF!</f>
        <v/>
      </c>
    </row>
    <row r="26">
      <c r="A26" s="12" t="inlineStr">
        <is>
          <t>ERGASHEVA NILUFAR</t>
        </is>
      </c>
      <c r="B26" s="17" t="n">
        <v>115</v>
      </c>
      <c r="C26" s="39" t="n">
        <v>8500000</v>
      </c>
      <c r="D26" s="39" t="n">
        <v>0</v>
      </c>
      <c r="E26" s="40">
        <f>SUMIFS(bank!$G:$G,bank!$I:$I,$A26,bank!$J:$J,1)</f>
        <v/>
      </c>
      <c r="F26" s="40">
        <f>SUMIFS(bank!$G:$G,bank!$I:$I,$A26,bank!$J:$J,2)</f>
        <v/>
      </c>
      <c r="G26" s="40">
        <f>#REF!-#REF!</f>
        <v/>
      </c>
      <c r="H26" s="41">
        <f>#REF!-#REF!</f>
        <v/>
      </c>
    </row>
    <row r="27">
      <c r="A27" s="16" t="inlineStr">
        <is>
          <t>JALOLOVA FARANGIZXON ABDINABI QIZI</t>
        </is>
      </c>
      <c r="B27" s="17" t="n">
        <v>115</v>
      </c>
      <c r="C27" s="36" t="n">
        <v>8500000</v>
      </c>
      <c r="D27" s="36" t="n">
        <v>0</v>
      </c>
      <c r="E27" s="37">
        <f>SUMIFS(bank!$G:$G,bank!$I:$I,$A27,bank!$J:$J,1)</f>
        <v/>
      </c>
      <c r="F27" s="37">
        <f>SUMIFS(bank!$G:$G,bank!$I:$I,$A27,bank!$J:$J,2)</f>
        <v/>
      </c>
      <c r="G27" s="37">
        <f>#REF!-#REF!</f>
        <v/>
      </c>
      <c r="H27" s="38">
        <f>#REF!-#REF!</f>
        <v/>
      </c>
    </row>
    <row r="28">
      <c r="A28" s="16" t="inlineStr">
        <is>
          <t>MO'MINOVA ZEBINISO ERGASHEVNA</t>
        </is>
      </c>
      <c r="B28" s="17" t="n">
        <v>115</v>
      </c>
      <c r="C28" s="36" t="n">
        <v>8500000</v>
      </c>
      <c r="D28" s="36" t="n">
        <v>0</v>
      </c>
      <c r="E28" s="37">
        <f>SUMIFS(bank!$G:$G,bank!$I:$I,$A28,bank!$J:$J,1)</f>
        <v/>
      </c>
      <c r="F28" s="37">
        <f>SUMIFS(bank!$G:$G,bank!$I:$I,$A28,bank!$J:$J,2)</f>
        <v/>
      </c>
      <c r="G28" s="37">
        <f>#REF!-#REF!</f>
        <v/>
      </c>
      <c r="H28" s="38">
        <f>#REF!-#REF!</f>
        <v/>
      </c>
    </row>
    <row r="29">
      <c r="A29" s="16" t="inlineStr">
        <is>
          <t>MUHAMMADIYEVA NARGIZA URALOVNA</t>
        </is>
      </c>
      <c r="B29" s="17" t="n">
        <v>115</v>
      </c>
      <c r="C29" s="36" t="n">
        <v>8500000</v>
      </c>
      <c r="D29" s="36" t="n">
        <v>0</v>
      </c>
      <c r="E29" s="37">
        <f>SUMIFS(bank!$G:$G,bank!$I:$I,$A29,bank!$J:$J,1)</f>
        <v/>
      </c>
      <c r="F29" s="37">
        <f>SUMIFS(bank!$G:$G,bank!$I:$I,$A29,bank!$J:$J,2)</f>
        <v/>
      </c>
      <c r="G29" s="37">
        <f>#REF!-#REF!</f>
        <v/>
      </c>
      <c r="H29" s="38">
        <f>#REF!-#REF!</f>
        <v/>
      </c>
    </row>
    <row r="30">
      <c r="A30" s="12" t="inlineStr">
        <is>
          <t>NAZIRQULOVA SITORA SHERZODOVNA</t>
        </is>
      </c>
      <c r="B30" s="17" t="n">
        <v>115</v>
      </c>
      <c r="C30" s="39" t="n">
        <v>8500000</v>
      </c>
      <c r="D30" s="39" t="n">
        <v>0</v>
      </c>
      <c r="E30" s="40">
        <f>SUMIFS(bank!$G:$G,bank!$I:$I,$A30,bank!$J:$J,1)</f>
        <v/>
      </c>
      <c r="F30" s="40">
        <f>SUMIFS(bank!$G:$G,bank!$I:$I,$A30,bank!$J:$J,2)</f>
        <v/>
      </c>
      <c r="G30" s="40">
        <f>#REF!-#REF!</f>
        <v/>
      </c>
      <c r="H30" s="41">
        <f>#REF!-#REF!</f>
        <v/>
      </c>
    </row>
    <row r="31">
      <c r="A31" s="12" t="inlineStr">
        <is>
          <t>NO'MONOVA FERUZA NE'MATULLO QIZI</t>
        </is>
      </c>
      <c r="B31" s="17" t="n">
        <v>115</v>
      </c>
      <c r="C31" s="39" t="n">
        <v>8500000</v>
      </c>
      <c r="D31" s="39" t="n">
        <v>0</v>
      </c>
      <c r="E31" s="40">
        <f>SUMIFS(bank!$G:$G,bank!$I:$I,$A31,bank!$J:$J,1)</f>
        <v/>
      </c>
      <c r="F31" s="40">
        <f>SUMIFS(bank!$G:$G,bank!$I:$I,$A31,bank!$J:$J,2)</f>
        <v/>
      </c>
      <c r="G31" s="40">
        <f>#REF!-#REF!</f>
        <v/>
      </c>
      <c r="H31" s="41">
        <f>#REF!-#REF!</f>
        <v/>
      </c>
    </row>
    <row r="32">
      <c r="A32" s="16" t="inlineStr">
        <is>
          <t>OCHILOVA MALIKABONU ILHOM QIZI</t>
        </is>
      </c>
      <c r="B32" s="17" t="n">
        <v>115</v>
      </c>
      <c r="C32" s="36" t="n">
        <v>8500000</v>
      </c>
      <c r="D32" s="36" t="n">
        <v>0</v>
      </c>
      <c r="E32" s="37">
        <f>SUMIFS(bank!$G:$G,bank!$I:$I,$A32,bank!$J:$J,1)</f>
        <v/>
      </c>
      <c r="F32" s="37">
        <f>SUMIFS(bank!$G:$G,bank!$I:$I,$A32,bank!$J:$J,2)</f>
        <v/>
      </c>
      <c r="G32" s="37">
        <f>#REF!-#REF!</f>
        <v/>
      </c>
      <c r="H32" s="38">
        <f>#REF!-#REF!</f>
        <v/>
      </c>
    </row>
    <row r="33">
      <c r="A33" s="12" t="inlineStr">
        <is>
          <t>QAYUMOVA KAMOLA RAXMATULLAYEVNA</t>
        </is>
      </c>
      <c r="B33" s="17" t="n">
        <v>115</v>
      </c>
      <c r="C33" s="39" t="n">
        <v>8500000</v>
      </c>
      <c r="D33" s="39" t="n">
        <v>0</v>
      </c>
      <c r="E33" s="40">
        <f>SUMIFS(bank!$G:$G,bank!$I:$I,$A33,bank!$J:$J,1)</f>
        <v/>
      </c>
      <c r="F33" s="40">
        <f>SUMIFS(bank!$G:$G,bank!$I:$I,$A33,bank!$J:$J,2)</f>
        <v/>
      </c>
      <c r="G33" s="40">
        <f>#REF!-#REF!</f>
        <v/>
      </c>
      <c r="H33" s="41">
        <f>#REF!-#REF!</f>
        <v/>
      </c>
    </row>
    <row r="34">
      <c r="A34" s="16" t="inlineStr">
        <is>
          <t>RAJABOVA MADINA MUXIDDIN QIZI</t>
        </is>
      </c>
      <c r="B34" s="17" t="n">
        <v>115</v>
      </c>
      <c r="C34" s="36" t="n">
        <v>8500000</v>
      </c>
      <c r="D34" s="36" t="n">
        <v>0</v>
      </c>
      <c r="E34" s="37">
        <f>SUMIFS(bank!$G:$G,bank!$I:$I,$A34,bank!$J:$J,1)</f>
        <v/>
      </c>
      <c r="F34" s="37">
        <f>SUMIFS(bank!$G:$G,bank!$I:$I,$A34,bank!$J:$J,2)</f>
        <v/>
      </c>
      <c r="G34" s="37">
        <f>#REF!-#REF!</f>
        <v/>
      </c>
      <c r="H34" s="38">
        <f>#REF!-#REF!</f>
        <v/>
      </c>
    </row>
    <row r="35">
      <c r="A35" s="12" t="inlineStr">
        <is>
          <t>SODIQOVA MOHINUR BURXON QIZI</t>
        </is>
      </c>
      <c r="B35" s="17" t="n">
        <v>115</v>
      </c>
      <c r="C35" s="39" t="n">
        <v>8500000</v>
      </c>
      <c r="D35" s="39" t="n">
        <v>0</v>
      </c>
      <c r="E35" s="40">
        <f>SUMIFS(bank!$G:$G,bank!$I:$I,$A35,bank!$J:$J,1)</f>
        <v/>
      </c>
      <c r="F35" s="40">
        <f>SUMIFS(bank!$G:$G,bank!$I:$I,$A35,bank!$J:$J,2)</f>
        <v/>
      </c>
      <c r="G35" s="40">
        <f>#REF!-#REF!</f>
        <v/>
      </c>
      <c r="H35" s="41">
        <f>#REF!-#REF!</f>
        <v/>
      </c>
    </row>
    <row r="36">
      <c r="A36" s="12" t="inlineStr">
        <is>
          <t>TURSUNOVA RAYHONA ASQARALI QIZI</t>
        </is>
      </c>
      <c r="B36" s="17" t="n">
        <v>115</v>
      </c>
      <c r="C36" s="39" t="n">
        <v>8500000</v>
      </c>
      <c r="D36" s="39" t="n">
        <v>0</v>
      </c>
      <c r="E36" s="40">
        <f>SUMIFS(bank!$G:$G,bank!$I:$I,$A36,bank!$J:$J,1)</f>
        <v/>
      </c>
      <c r="F36" s="40">
        <f>SUMIFS(bank!$G:$G,bank!$I:$I,$A36,bank!$J:$J,2)</f>
        <v/>
      </c>
      <c r="G36" s="40">
        <f>#REF!-#REF!</f>
        <v/>
      </c>
      <c r="H36" s="41">
        <f>#REF!-#REF!</f>
        <v/>
      </c>
    </row>
    <row r="37">
      <c r="A37" s="16" t="inlineStr">
        <is>
          <t>ESHBOBOYEVA MUHAYYO AMINJON QIZI</t>
        </is>
      </c>
      <c r="B37" s="17" t="n">
        <v>116</v>
      </c>
      <c r="C37" s="36" t="n">
        <v>8500000</v>
      </c>
      <c r="D37" s="36" t="n">
        <v>0</v>
      </c>
      <c r="E37" s="37">
        <f>SUMIFS(bank!$G:$G,bank!$I:$I,$A37,bank!$J:$J,1)</f>
        <v/>
      </c>
      <c r="F37" s="37">
        <f>SUMIFS(bank!$G:$G,bank!$I:$I,$A37,bank!$J:$J,2)</f>
        <v/>
      </c>
      <c r="G37" s="37">
        <f>#REF!-#REF!</f>
        <v/>
      </c>
      <c r="H37" s="38">
        <f>#REF!-#REF!</f>
        <v/>
      </c>
    </row>
    <row r="38">
      <c r="A38" s="16" t="inlineStr">
        <is>
          <t>ESHTEMIROVA SEVINCH</t>
        </is>
      </c>
      <c r="B38" s="17" t="n">
        <v>116</v>
      </c>
      <c r="C38" s="36" t="n">
        <v>8500000</v>
      </c>
      <c r="D38" s="36" t="n">
        <v>0</v>
      </c>
      <c r="E38" s="37">
        <f>SUMIFS(bank!$G:$G,bank!$I:$I,$A38,bank!$J:$J,1)</f>
        <v/>
      </c>
      <c r="F38" s="37">
        <f>SUMIFS(bank!$G:$G,bank!$I:$I,$A38,bank!$J:$J,2)</f>
        <v/>
      </c>
      <c r="G38" s="37">
        <f>#REF!-#REF!</f>
        <v/>
      </c>
      <c r="H38" s="38">
        <f>#REF!-#REF!</f>
        <v/>
      </c>
    </row>
    <row r="39">
      <c r="A39" s="12" t="inlineStr">
        <is>
          <t>Eshtemirova Sevinch Sattor qizi</t>
        </is>
      </c>
      <c r="B39" s="17" t="n">
        <v>116</v>
      </c>
      <c r="C39" s="39" t="n">
        <v>0</v>
      </c>
      <c r="D39" s="39" t="n">
        <v>8500000</v>
      </c>
      <c r="E39" s="40">
        <f>SUMIFS(bank!$G:$G,bank!$I:$I,$A39,bank!$J:$J,1)</f>
        <v/>
      </c>
      <c r="F39" s="40">
        <f>SUMIFS(bank!$G:$G,bank!$I:$I,$A39,bank!$J:$J,2)</f>
        <v/>
      </c>
      <c r="G39" s="40">
        <f>#REF!-#REF!</f>
        <v/>
      </c>
      <c r="H39" s="41">
        <f>#REF!-#REF!</f>
        <v/>
      </c>
    </row>
    <row r="40">
      <c r="A40" s="12" t="inlineStr">
        <is>
          <t>ISMATOVA RUHSHONA ZIYODULLA QIZI</t>
        </is>
      </c>
      <c r="B40" s="17" t="n">
        <v>116</v>
      </c>
      <c r="C40" s="39" t="n">
        <v>8500000</v>
      </c>
      <c r="D40" s="39" t="n">
        <v>0</v>
      </c>
      <c r="E40" s="40">
        <f>SUMIFS(bank!$G:$G,bank!$I:$I,$A40,bank!$J:$J,1)</f>
        <v/>
      </c>
      <c r="F40" s="40">
        <f>SUMIFS(bank!$G:$G,bank!$I:$I,$A40,bank!$J:$J,2)</f>
        <v/>
      </c>
      <c r="G40" s="40">
        <f>#REF!-#REF!</f>
        <v/>
      </c>
      <c r="H40" s="41">
        <f>#REF!-#REF!</f>
        <v/>
      </c>
    </row>
    <row r="41">
      <c r="A41" s="16" t="inlineStr">
        <is>
          <t>JUMAYEVA GUZAL RUSTAM QIZI</t>
        </is>
      </c>
      <c r="B41" s="17" t="n">
        <v>116</v>
      </c>
      <c r="C41" s="36" t="n">
        <v>8500000</v>
      </c>
      <c r="D41" s="36" t="n">
        <v>0</v>
      </c>
      <c r="E41" s="37">
        <f>SUMIFS(bank!$G:$G,bank!$I:$I,$A41,bank!$J:$J,1)</f>
        <v/>
      </c>
      <c r="F41" s="37">
        <f>SUMIFS(bank!$G:$G,bank!$I:$I,$A41,bank!$J:$J,2)</f>
        <v/>
      </c>
      <c r="G41" s="37">
        <f>#REF!-#REF!</f>
        <v/>
      </c>
      <c r="H41" s="38">
        <f>#REF!-#REF!</f>
        <v/>
      </c>
    </row>
    <row r="42">
      <c r="A42" s="12" t="inlineStr">
        <is>
          <t>KAMOLOVA MARJONA</t>
        </is>
      </c>
      <c r="B42" s="17" t="n">
        <v>116</v>
      </c>
      <c r="C42" s="39" t="n">
        <v>8500000</v>
      </c>
      <c r="D42" s="39" t="n">
        <v>0</v>
      </c>
      <c r="E42" s="40">
        <f>SUMIFS(bank!$G:$G,bank!$I:$I,$A42,bank!$J:$J,1)</f>
        <v/>
      </c>
      <c r="F42" s="40">
        <f>SUMIFS(bank!$G:$G,bank!$I:$I,$A42,bank!$J:$J,2)</f>
        <v/>
      </c>
      <c r="G42" s="40">
        <f>#REF!-#REF!</f>
        <v/>
      </c>
      <c r="H42" s="41">
        <f>#REF!-#REF!</f>
        <v/>
      </c>
    </row>
    <row r="43">
      <c r="A43" s="12" t="inlineStr">
        <is>
          <t>MAXMUDOVA GULCHAMAN USAR QIZI</t>
        </is>
      </c>
      <c r="B43" s="17" t="n">
        <v>116</v>
      </c>
      <c r="C43" s="39" t="n">
        <v>8500000</v>
      </c>
      <c r="D43" s="39" t="n">
        <v>0</v>
      </c>
      <c r="E43" s="40">
        <f>SUMIFS(bank!$G:$G,bank!$I:$I,$A43,bank!$J:$J,1)</f>
        <v/>
      </c>
      <c r="F43" s="40">
        <f>SUMIFS(bank!$G:$G,bank!$I:$I,$A43,bank!$J:$J,2)</f>
        <v/>
      </c>
      <c r="G43" s="40">
        <f>#REF!-#REF!</f>
        <v/>
      </c>
      <c r="H43" s="41">
        <f>#REF!-#REF!</f>
        <v/>
      </c>
    </row>
    <row r="44">
      <c r="A44" s="16" t="inlineStr">
        <is>
          <t>NAZAROVA XUSNIDA</t>
        </is>
      </c>
      <c r="B44" s="17" t="n">
        <v>116</v>
      </c>
      <c r="C44" s="36" t="n">
        <v>8500000</v>
      </c>
      <c r="D44" s="36" t="n">
        <v>0</v>
      </c>
      <c r="E44" s="37">
        <f>SUMIFS(bank!$G:$G,bank!$I:$I,$A44,bank!$J:$J,1)</f>
        <v/>
      </c>
      <c r="F44" s="37">
        <f>SUMIFS(bank!$G:$G,bank!$I:$I,$A44,bank!$J:$J,2)</f>
        <v/>
      </c>
      <c r="G44" s="37">
        <f>#REF!-#REF!</f>
        <v/>
      </c>
      <c r="H44" s="38">
        <f>#REF!-#REF!</f>
        <v/>
      </c>
    </row>
    <row r="45">
      <c r="A45" s="12" t="inlineStr">
        <is>
          <t>OZODOVA SARVAR TOLIB QIZI</t>
        </is>
      </c>
      <c r="B45" s="17" t="n">
        <v>116</v>
      </c>
      <c r="C45" s="39" t="n">
        <v>8500000</v>
      </c>
      <c r="D45" s="39" t="n">
        <v>0</v>
      </c>
      <c r="E45" s="40">
        <f>SUMIFS(bank!$G:$G,bank!$I:$I,$A45,bank!$J:$J,1)</f>
        <v/>
      </c>
      <c r="F45" s="40">
        <f>SUMIFS(bank!$G:$G,bank!$I:$I,$A45,bank!$J:$J,2)</f>
        <v/>
      </c>
      <c r="G45" s="40">
        <f>#REF!-#REF!</f>
        <v/>
      </c>
      <c r="H45" s="41">
        <f>#REF!-#REF!</f>
        <v/>
      </c>
    </row>
    <row r="46">
      <c r="A46" s="12" t="inlineStr">
        <is>
          <t>TURSUNOVA AZIZA</t>
        </is>
      </c>
      <c r="B46" s="17" t="n">
        <v>116</v>
      </c>
      <c r="C46" s="39" t="n">
        <v>8500000</v>
      </c>
      <c r="D46" s="39" t="n">
        <v>0</v>
      </c>
      <c r="E46" s="40">
        <f>SUMIFS(bank!$G:$G,bank!$I:$I,$A46,bank!$J:$J,1)</f>
        <v/>
      </c>
      <c r="F46" s="40">
        <f>SUMIFS(bank!$G:$G,bank!$I:$I,$A46,bank!$J:$J,2)</f>
        <v/>
      </c>
      <c r="G46" s="40">
        <f>#REF!-#REF!</f>
        <v/>
      </c>
      <c r="H46" s="41">
        <f>#REF!-#REF!</f>
        <v/>
      </c>
    </row>
    <row r="47">
      <c r="A47" s="12" t="inlineStr">
        <is>
          <t>YO'LDOSHEVA MAQSUDA QO'CHQOR QIZI</t>
        </is>
      </c>
      <c r="B47" s="17" t="n">
        <v>116</v>
      </c>
      <c r="C47" s="39" t="n">
        <v>8500000</v>
      </c>
      <c r="D47" s="39" t="n">
        <v>0</v>
      </c>
      <c r="E47" s="40">
        <f>SUMIFS(bank!$G:$G,bank!$I:$I,$A47,bank!$J:$J,1)</f>
        <v/>
      </c>
      <c r="F47" s="40">
        <f>SUMIFS(bank!$G:$G,bank!$I:$I,$A47,bank!$J:$J,2)</f>
        <v/>
      </c>
      <c r="G47" s="40">
        <f>#REF!-#REF!</f>
        <v/>
      </c>
      <c r="H47" s="41">
        <f>#REF!-#REF!</f>
        <v/>
      </c>
    </row>
    <row r="50">
      <c r="A50" s="16" t="inlineStr">
        <is>
          <t>Fayzullayeva Zuhra Bahrom qizi</t>
        </is>
      </c>
      <c r="B50" s="17" t="n">
        <v>202</v>
      </c>
      <c r="C50" s="36" t="n">
        <v>8500000</v>
      </c>
      <c r="D50" s="36" t="n">
        <v>0</v>
      </c>
      <c r="E50" s="37">
        <f>SUMIFS(bank!$G:$G,bank!$I:$I,$A50,bank!$J:$J,1)</f>
        <v/>
      </c>
      <c r="F50" s="37">
        <f>SUMIFS(bank!$G:$G,bank!$I:$I,$A50,bank!$J:$J,2)</f>
        <v/>
      </c>
      <c r="G50" s="37">
        <f>#REF!-#REF!</f>
        <v/>
      </c>
      <c r="H50" s="38">
        <f>#REF!-#REF!</f>
        <v/>
      </c>
    </row>
    <row r="51">
      <c r="A51" s="16" t="inlineStr">
        <is>
          <t>Meliqulova Shalola Amonovna</t>
        </is>
      </c>
      <c r="B51" s="17" t="n">
        <v>202</v>
      </c>
      <c r="C51" s="36" t="n">
        <v>8500000</v>
      </c>
      <c r="D51" s="36" t="n">
        <v>0</v>
      </c>
      <c r="E51" s="37">
        <f>SUMIFS(bank!$G:$G,bank!$I:$I,$A51,bank!$J:$J,1)</f>
        <v/>
      </c>
      <c r="F51" s="37">
        <f>SUMIFS(bank!$G:$G,bank!$I:$I,$A51,bank!$J:$J,2)</f>
        <v/>
      </c>
      <c r="G51" s="37">
        <f>#REF!-#REF!</f>
        <v/>
      </c>
      <c r="H51" s="38">
        <f>#REF!-#REF!</f>
        <v/>
      </c>
    </row>
    <row r="52">
      <c r="A52" s="12" t="inlineStr">
        <is>
          <t>Suyunova Marjona Ravshan qizi</t>
        </is>
      </c>
      <c r="B52" s="17" t="n">
        <v>202</v>
      </c>
      <c r="C52" s="39" t="n">
        <v>8500000</v>
      </c>
      <c r="D52" s="39" t="n">
        <v>0</v>
      </c>
      <c r="E52" s="40">
        <f>SUMIFS(bank!$G:$G,bank!$I:$I,$A52,bank!$J:$J,1)</f>
        <v/>
      </c>
      <c r="F52" s="40">
        <f>SUMIFS(bank!$G:$G,bank!$I:$I,$A52,bank!$J:$J,2)</f>
        <v/>
      </c>
      <c r="G52" s="40">
        <f>#REF!-#REF!</f>
        <v/>
      </c>
      <c r="H52" s="41">
        <f>#REF!-#REF!</f>
        <v/>
      </c>
    </row>
    <row r="53">
      <c r="A53" s="16" t="inlineStr">
        <is>
          <t>Xojimurodova Umida Pirnazar qizi</t>
        </is>
      </c>
      <c r="B53" s="17" t="n">
        <v>202</v>
      </c>
      <c r="C53" s="36" t="n">
        <v>8500000</v>
      </c>
      <c r="D53" s="36" t="n">
        <v>0</v>
      </c>
      <c r="E53" s="37">
        <f>SUMIFS(bank!$G:$G,bank!$I:$I,$A53,bank!$J:$J,1)</f>
        <v/>
      </c>
      <c r="F53" s="37">
        <f>SUMIFS(bank!$G:$G,bank!$I:$I,$A53,bank!$J:$J,2)</f>
        <v/>
      </c>
      <c r="G53" s="37">
        <f>#REF!-#REF!</f>
        <v/>
      </c>
      <c r="H53" s="38">
        <f>#REF!-#REF!</f>
        <v/>
      </c>
    </row>
    <row r="54">
      <c r="A54" s="12" t="inlineStr">
        <is>
          <t>Suyunova Shahlo Tohir qizi</t>
        </is>
      </c>
      <c r="B54" s="17" t="n">
        <v>203</v>
      </c>
      <c r="C54" s="39" t="n">
        <v>8500000</v>
      </c>
      <c r="D54" s="39" t="n">
        <v>0</v>
      </c>
      <c r="E54" s="40">
        <f>SUMIFS(bank!$G:$G,bank!$I:$I,$A54,bank!$J:$J,1)</f>
        <v/>
      </c>
      <c r="F54" s="40">
        <f>SUMIFS(bank!$G:$G,bank!$I:$I,$A54,bank!$J:$J,2)</f>
        <v/>
      </c>
      <c r="G54" s="40">
        <f>#REF!-#REF!</f>
        <v/>
      </c>
      <c r="H54" s="41">
        <f>#REF!-#REF!</f>
        <v/>
      </c>
    </row>
    <row r="55">
      <c r="A55" s="16" t="inlineStr">
        <is>
          <t>Tursunova Sevinch Turg'un qizi</t>
        </is>
      </c>
      <c r="B55" s="17" t="n">
        <v>203</v>
      </c>
      <c r="C55" s="36" t="n">
        <v>8500000</v>
      </c>
      <c r="D55" s="36" t="n">
        <v>0</v>
      </c>
      <c r="E55" s="37">
        <f>SUMIFS(bank!$G:$G,bank!$I:$I,$A55,bank!$J:$J,1)</f>
        <v/>
      </c>
      <c r="F55" s="37">
        <f>SUMIFS(bank!$G:$G,bank!$I:$I,$A55,bank!$J:$J,2)</f>
        <v/>
      </c>
      <c r="G55" s="37">
        <f>#REF!-#REF!</f>
        <v/>
      </c>
      <c r="H55" s="38">
        <f>#REF!-#REF!</f>
        <v/>
      </c>
    </row>
    <row r="56">
      <c r="A56" s="12" t="inlineStr">
        <is>
          <t xml:space="preserve">Jumayeva Xurshida Safar qizi
</t>
        </is>
      </c>
      <c r="B56" s="17" t="n">
        <v>204</v>
      </c>
      <c r="C56" s="39" t="n">
        <v>8500000</v>
      </c>
      <c r="D56" s="39" t="n">
        <v>0</v>
      </c>
      <c r="E56" s="40">
        <f>SUMIFS(bank!$G:$G,bank!$I:$I,$A56,bank!$J:$J,1)</f>
        <v/>
      </c>
      <c r="F56" s="40">
        <f>SUMIFS(bank!$G:$G,bank!$I:$I,$A56,bank!$J:$J,2)</f>
        <v/>
      </c>
      <c r="G56" s="40">
        <f>#REF!-#REF!</f>
        <v/>
      </c>
      <c r="H56" s="41">
        <f>#REF!-#REF!</f>
        <v/>
      </c>
    </row>
    <row r="57">
      <c r="A57" s="16" t="inlineStr">
        <is>
          <t>Ergasheva Gulnoza Jamol qizi</t>
        </is>
      </c>
      <c r="B57" s="17" t="n">
        <v>204</v>
      </c>
      <c r="C57" s="36" t="n">
        <v>8500000</v>
      </c>
      <c r="D57" s="36" t="n">
        <v>0</v>
      </c>
      <c r="E57" s="37">
        <f>SUMIFS(bank!$G:$G,bank!$I:$I,$A57,bank!$J:$J,1)</f>
        <v/>
      </c>
      <c r="F57" s="37">
        <f>SUMIFS(bank!$G:$G,bank!$I:$I,$A57,bank!$J:$J,2)</f>
        <v/>
      </c>
      <c r="G57" s="37">
        <f>#REF!-#REF!</f>
        <v/>
      </c>
      <c r="H57" s="38">
        <f>#REF!-#REF!</f>
        <v/>
      </c>
    </row>
    <row r="58">
      <c r="A58" s="12" t="inlineStr">
        <is>
          <t>Aminova Diyora Saidmurodovna</t>
        </is>
      </c>
      <c r="B58" s="17" t="n">
        <v>205</v>
      </c>
      <c r="C58" s="39" t="n">
        <v>8500000</v>
      </c>
      <c r="D58" s="39" t="n">
        <v>0</v>
      </c>
      <c r="E58" s="40">
        <f>SUMIFS(bank!$G:$G,bank!$I:$I,$A58,bank!$J:$J,1)</f>
        <v/>
      </c>
      <c r="F58" s="40">
        <f>SUMIFS(bank!$G:$G,bank!$I:$I,$A58,bank!$J:$J,2)</f>
        <v/>
      </c>
      <c r="G58" s="40">
        <f>#REF!-#REF!</f>
        <v/>
      </c>
      <c r="H58" s="41">
        <f>#REF!-#REF!</f>
        <v/>
      </c>
    </row>
    <row r="59">
      <c r="A59" s="16" t="inlineStr">
        <is>
          <t>Yunusova Qurbonoy Kamol qizi</t>
        </is>
      </c>
      <c r="B59" s="17" t="n">
        <v>205</v>
      </c>
      <c r="C59" s="36" t="n">
        <v>8500000</v>
      </c>
      <c r="D59" s="36" t="n">
        <v>0</v>
      </c>
      <c r="E59" s="37">
        <f>SUMIFS(bank!$G:$G,bank!$I:$I,$A59,bank!$J:$J,1)</f>
        <v/>
      </c>
      <c r="F59" s="37">
        <f>SUMIFS(bank!$G:$G,bank!$I:$I,$A59,bank!$J:$J,2)</f>
        <v/>
      </c>
      <c r="G59" s="37">
        <f>#REF!-#REF!</f>
        <v/>
      </c>
      <c r="H59" s="38">
        <f>#REF!-#REF!</f>
        <v/>
      </c>
    </row>
    <row r="60">
      <c r="A60" s="16" t="inlineStr">
        <is>
          <t>Norboboyeva Go'zal Azamat qizi</t>
        </is>
      </c>
      <c r="B60" s="17" t="n">
        <v>206</v>
      </c>
      <c r="C60" s="36" t="n">
        <v>8500000</v>
      </c>
      <c r="D60" s="36" t="n">
        <v>0</v>
      </c>
      <c r="E60" s="37">
        <f>SUMIFS(bank!$G:$G,bank!$I:$I,$A60,bank!$J:$J,1)</f>
        <v/>
      </c>
      <c r="F60" s="37">
        <f>SUMIFS(bank!$G:$G,bank!$I:$I,$A60,bank!$J:$J,2)</f>
        <v/>
      </c>
      <c r="G60" s="37">
        <f>#REF!-#REF!</f>
        <v/>
      </c>
      <c r="H60" s="38">
        <f>#REF!-#REF!</f>
        <v/>
      </c>
    </row>
    <row r="61">
      <c r="A61" s="12" t="inlineStr">
        <is>
          <t>Kubayeva Madina Zoyir qizi</t>
        </is>
      </c>
      <c r="B61" s="17" t="n">
        <v>206</v>
      </c>
      <c r="C61" s="39" t="n">
        <v>8500000</v>
      </c>
      <c r="D61" s="39" t="n">
        <v>0</v>
      </c>
      <c r="E61" s="40">
        <f>SUMIFS(bank!$G:$G,bank!$I:$I,$A61,bank!$J:$J,1)</f>
        <v/>
      </c>
      <c r="F61" s="40">
        <f>SUMIFS(bank!$G:$G,bank!$I:$I,$A61,bank!$J:$J,2)</f>
        <v/>
      </c>
      <c r="G61" s="40">
        <f>#REF!-#REF!</f>
        <v/>
      </c>
      <c r="H61" s="41">
        <f>#REF!-#REF!</f>
        <v/>
      </c>
    </row>
    <row r="62">
      <c r="A62" s="16" t="inlineStr">
        <is>
          <t>G'ulomova Sevinch Umurzoq qizi</t>
        </is>
      </c>
      <c r="B62" s="17" t="n">
        <v>206</v>
      </c>
      <c r="C62" s="36" t="n">
        <v>8500000</v>
      </c>
      <c r="D62" s="36" t="n">
        <v>0</v>
      </c>
      <c r="E62" s="37">
        <f>SUMIFS(bank!$G:$G,bank!$I:$I,$A62,bank!$J:$J,1)</f>
        <v/>
      </c>
      <c r="F62" s="37">
        <f>SUMIFS(bank!$G:$G,bank!$I:$I,$A62,bank!$J:$J,2)</f>
        <v/>
      </c>
      <c r="G62" s="37">
        <f>#REF!-#REF!</f>
        <v/>
      </c>
      <c r="H62" s="38">
        <f>#REF!-#REF!</f>
        <v/>
      </c>
    </row>
    <row r="63">
      <c r="A63" s="14" t="inlineStr">
        <is>
          <t>Norxo'jayeva Charos Boxodirovna</t>
        </is>
      </c>
      <c r="B63" s="17" t="n">
        <v>206</v>
      </c>
      <c r="C63" s="43" t="n">
        <v>8500000</v>
      </c>
      <c r="D63" s="43" t="n">
        <v>8500000</v>
      </c>
      <c r="E63" s="40">
        <f>SUMIFS(bank!$G:$G,bank!$I:$I,$A63,bank!$J:$J,1)</f>
        <v/>
      </c>
      <c r="F63" s="40">
        <f>SUMIFS(bank!$G:$G,bank!$I:$I,$A63,bank!$J:$J,2)</f>
        <v/>
      </c>
      <c r="G63" s="40">
        <f>#REF!-#REF!</f>
        <v/>
      </c>
      <c r="H63" s="41">
        <f>#REF!-#REF!</f>
        <v/>
      </c>
    </row>
  </sheetData>
  <conditionalFormatting sqref="A1">
    <cfRule type="duplicateValues" priority="172" dxfId="0"/>
    <cfRule type="duplicateValues" priority="173" dxfId="0"/>
    <cfRule type="duplicateValues" priority="174" dxfId="0"/>
  </conditionalFormatting>
  <conditionalFormatting sqref="A2">
    <cfRule type="duplicateValues" priority="169" dxfId="0"/>
    <cfRule type="duplicateValues" priority="170" dxfId="0"/>
    <cfRule type="duplicateValues" priority="171" dxfId="0"/>
  </conditionalFormatting>
  <conditionalFormatting sqref="A3">
    <cfRule type="duplicateValues" priority="166" dxfId="0"/>
    <cfRule type="duplicateValues" priority="167" dxfId="0"/>
    <cfRule type="duplicateValues" priority="168" dxfId="0"/>
  </conditionalFormatting>
  <conditionalFormatting sqref="A4">
    <cfRule type="duplicateValues" priority="163" dxfId="0"/>
    <cfRule type="duplicateValues" priority="164" dxfId="0"/>
    <cfRule type="duplicateValues" priority="165" dxfId="0"/>
  </conditionalFormatting>
  <conditionalFormatting sqref="A5">
    <cfRule type="duplicateValues" priority="160" dxfId="0"/>
    <cfRule type="duplicateValues" priority="161" dxfId="0"/>
    <cfRule type="duplicateValues" priority="162" dxfId="0"/>
  </conditionalFormatting>
  <conditionalFormatting sqref="A6">
    <cfRule type="duplicateValues" priority="157" dxfId="0"/>
    <cfRule type="duplicateValues" priority="158" dxfId="0"/>
    <cfRule type="duplicateValues" priority="159" dxfId="0"/>
  </conditionalFormatting>
  <conditionalFormatting sqref="A7">
    <cfRule type="duplicateValues" priority="154" dxfId="0"/>
    <cfRule type="duplicateValues" priority="155" dxfId="0"/>
    <cfRule type="duplicateValues" priority="156" dxfId="0"/>
  </conditionalFormatting>
  <conditionalFormatting sqref="A8">
    <cfRule type="duplicateValues" priority="151" dxfId="0"/>
    <cfRule type="duplicateValues" priority="152" dxfId="0"/>
    <cfRule type="duplicateValues" priority="153" dxfId="0"/>
  </conditionalFormatting>
  <conditionalFormatting sqref="A9">
    <cfRule type="duplicateValues" priority="148" dxfId="0"/>
    <cfRule type="duplicateValues" priority="149" dxfId="0"/>
    <cfRule type="duplicateValues" priority="150" dxfId="0"/>
  </conditionalFormatting>
  <conditionalFormatting sqref="A10">
    <cfRule type="duplicateValues" priority="145" dxfId="0"/>
    <cfRule type="duplicateValues" priority="146" dxfId="0"/>
    <cfRule type="duplicateValues" priority="147" dxfId="0"/>
  </conditionalFormatting>
  <conditionalFormatting sqref="A11">
    <cfRule type="duplicateValues" priority="142" dxfId="0"/>
    <cfRule type="duplicateValues" priority="143" dxfId="0"/>
    <cfRule type="duplicateValues" priority="144" dxfId="0"/>
  </conditionalFormatting>
  <conditionalFormatting sqref="A12">
    <cfRule type="duplicateValues" priority="139" dxfId="0"/>
    <cfRule type="duplicateValues" priority="140" dxfId="0"/>
    <cfRule type="duplicateValues" priority="141" dxfId="0"/>
  </conditionalFormatting>
  <conditionalFormatting sqref="A13">
    <cfRule type="duplicateValues" priority="136" dxfId="0"/>
    <cfRule type="duplicateValues" priority="137" dxfId="0"/>
    <cfRule type="duplicateValues" priority="138" dxfId="0"/>
  </conditionalFormatting>
  <conditionalFormatting sqref="A14">
    <cfRule type="duplicateValues" priority="133" dxfId="0"/>
    <cfRule type="duplicateValues" priority="134" dxfId="0"/>
    <cfRule type="duplicateValues" priority="135" dxfId="0"/>
  </conditionalFormatting>
  <conditionalFormatting sqref="A15">
    <cfRule type="duplicateValues" priority="130" dxfId="0"/>
    <cfRule type="duplicateValues" priority="131" dxfId="0"/>
    <cfRule type="duplicateValues" priority="132" dxfId="0"/>
  </conditionalFormatting>
  <conditionalFormatting sqref="A16">
    <cfRule type="duplicateValues" priority="127" dxfId="0"/>
    <cfRule type="duplicateValues" priority="128" dxfId="0"/>
    <cfRule type="duplicateValues" priority="129" dxfId="0"/>
  </conditionalFormatting>
  <conditionalFormatting sqref="A17">
    <cfRule type="duplicateValues" priority="124" dxfId="0"/>
    <cfRule type="duplicateValues" priority="125" dxfId="0"/>
    <cfRule type="duplicateValues" priority="126" dxfId="0"/>
  </conditionalFormatting>
  <conditionalFormatting sqref="A18">
    <cfRule type="duplicateValues" priority="121" dxfId="0"/>
    <cfRule type="duplicateValues" priority="122" dxfId="0"/>
    <cfRule type="duplicateValues" priority="123" dxfId="0"/>
  </conditionalFormatting>
  <conditionalFormatting sqref="A19">
    <cfRule type="duplicateValues" priority="118" dxfId="0"/>
    <cfRule type="duplicateValues" priority="119" dxfId="0"/>
    <cfRule type="duplicateValues" priority="120" dxfId="0"/>
  </conditionalFormatting>
  <conditionalFormatting sqref="A20">
    <cfRule type="duplicateValues" priority="115" dxfId="0"/>
    <cfRule type="duplicateValues" priority="116" dxfId="0"/>
    <cfRule type="duplicateValues" priority="117" dxfId="0"/>
  </conditionalFormatting>
  <conditionalFormatting sqref="A21">
    <cfRule type="duplicateValues" priority="112" dxfId="0"/>
    <cfRule type="duplicateValues" priority="113" dxfId="0"/>
    <cfRule type="duplicateValues" priority="114" dxfId="0"/>
  </conditionalFormatting>
  <conditionalFormatting sqref="A22">
    <cfRule type="duplicateValues" priority="109" dxfId="0"/>
    <cfRule type="duplicateValues" priority="110" dxfId="0"/>
    <cfRule type="duplicateValues" priority="111" dxfId="0"/>
  </conditionalFormatting>
  <conditionalFormatting sqref="A23">
    <cfRule type="duplicateValues" priority="106" dxfId="0"/>
    <cfRule type="duplicateValues" priority="107" dxfId="0"/>
    <cfRule type="duplicateValues" priority="108" dxfId="0"/>
  </conditionalFormatting>
  <conditionalFormatting sqref="A24">
    <cfRule type="duplicateValues" priority="103" dxfId="0"/>
    <cfRule type="duplicateValues" priority="104" dxfId="0"/>
    <cfRule type="duplicateValues" priority="105" dxfId="0"/>
  </conditionalFormatting>
  <conditionalFormatting sqref="A25">
    <cfRule type="duplicateValues" priority="100" dxfId="0"/>
    <cfRule type="duplicateValues" priority="101" dxfId="0"/>
    <cfRule type="duplicateValues" priority="102" dxfId="0"/>
  </conditionalFormatting>
  <conditionalFormatting sqref="A26">
    <cfRule type="duplicateValues" priority="97" dxfId="0"/>
    <cfRule type="duplicateValues" priority="98" dxfId="0"/>
    <cfRule type="duplicateValues" priority="99" dxfId="0"/>
  </conditionalFormatting>
  <conditionalFormatting sqref="A27">
    <cfRule type="duplicateValues" priority="94" dxfId="0"/>
    <cfRule type="duplicateValues" priority="95" dxfId="0"/>
    <cfRule type="duplicateValues" priority="96" dxfId="0"/>
  </conditionalFormatting>
  <conditionalFormatting sqref="A28">
    <cfRule type="duplicateValues" priority="91" dxfId="0"/>
    <cfRule type="duplicateValues" priority="92" dxfId="0"/>
    <cfRule type="duplicateValues" priority="93" dxfId="0"/>
  </conditionalFormatting>
  <conditionalFormatting sqref="A29">
    <cfRule type="duplicateValues" priority="88" dxfId="0"/>
    <cfRule type="duplicateValues" priority="89" dxfId="0"/>
    <cfRule type="duplicateValues" priority="90" dxfId="0"/>
  </conditionalFormatting>
  <conditionalFormatting sqref="A30">
    <cfRule type="duplicateValues" priority="85" dxfId="0"/>
    <cfRule type="duplicateValues" priority="86" dxfId="0"/>
    <cfRule type="duplicateValues" priority="87" dxfId="0"/>
  </conditionalFormatting>
  <conditionalFormatting sqref="A31">
    <cfRule type="duplicateValues" priority="82" dxfId="0"/>
    <cfRule type="duplicateValues" priority="83" dxfId="0"/>
    <cfRule type="duplicateValues" priority="84" dxfId="0"/>
  </conditionalFormatting>
  <conditionalFormatting sqref="A32">
    <cfRule type="duplicateValues" priority="79" dxfId="0"/>
    <cfRule type="duplicateValues" priority="80" dxfId="0"/>
    <cfRule type="duplicateValues" priority="81" dxfId="0"/>
  </conditionalFormatting>
  <conditionalFormatting sqref="A33">
    <cfRule type="duplicateValues" priority="76" dxfId="0"/>
    <cfRule type="duplicateValues" priority="77" dxfId="0"/>
    <cfRule type="duplicateValues" priority="78" dxfId="0"/>
  </conditionalFormatting>
  <conditionalFormatting sqref="A34">
    <cfRule type="duplicateValues" priority="73" dxfId="0"/>
    <cfRule type="duplicateValues" priority="74" dxfId="0"/>
    <cfRule type="duplicateValues" priority="75" dxfId="0"/>
  </conditionalFormatting>
  <conditionalFormatting sqref="A35">
    <cfRule type="duplicateValues" priority="70" dxfId="0"/>
    <cfRule type="duplicateValues" priority="71" dxfId="0"/>
    <cfRule type="duplicateValues" priority="72" dxfId="0"/>
  </conditionalFormatting>
  <conditionalFormatting sqref="A36">
    <cfRule type="duplicateValues" priority="67" dxfId="0"/>
    <cfRule type="duplicateValues" priority="68" dxfId="0"/>
    <cfRule type="duplicateValues" priority="69" dxfId="0"/>
  </conditionalFormatting>
  <conditionalFormatting sqref="A37">
    <cfRule type="duplicateValues" priority="64" dxfId="0"/>
    <cfRule type="duplicateValues" priority="65" dxfId="0"/>
    <cfRule type="duplicateValues" priority="66" dxfId="0"/>
  </conditionalFormatting>
  <conditionalFormatting sqref="A38">
    <cfRule type="duplicateValues" priority="61" dxfId="0"/>
    <cfRule type="duplicateValues" priority="62" dxfId="0"/>
    <cfRule type="duplicateValues" priority="63" dxfId="0"/>
  </conditionalFormatting>
  <conditionalFormatting sqref="A39">
    <cfRule type="duplicateValues" priority="58" dxfId="0"/>
    <cfRule type="duplicateValues" priority="59" dxfId="0"/>
    <cfRule type="duplicateValues" priority="60" dxfId="0"/>
  </conditionalFormatting>
  <conditionalFormatting sqref="A40">
    <cfRule type="duplicateValues" priority="55" dxfId="0"/>
    <cfRule type="duplicateValues" priority="56" dxfId="0"/>
    <cfRule type="duplicateValues" priority="57" dxfId="0"/>
  </conditionalFormatting>
  <conditionalFormatting sqref="A41">
    <cfRule type="duplicateValues" priority="52" dxfId="0"/>
    <cfRule type="duplicateValues" priority="53" dxfId="0"/>
    <cfRule type="duplicateValues" priority="54" dxfId="0"/>
  </conditionalFormatting>
  <conditionalFormatting sqref="A42">
    <cfRule type="duplicateValues" priority="49" dxfId="0"/>
    <cfRule type="duplicateValues" priority="50" dxfId="0"/>
    <cfRule type="duplicateValues" priority="51" dxfId="0"/>
  </conditionalFormatting>
  <conditionalFormatting sqref="A43">
    <cfRule type="duplicateValues" priority="46" dxfId="0"/>
    <cfRule type="duplicateValues" priority="47" dxfId="0"/>
    <cfRule type="duplicateValues" priority="48" dxfId="0"/>
  </conditionalFormatting>
  <conditionalFormatting sqref="A44">
    <cfRule type="duplicateValues" priority="43" dxfId="0"/>
    <cfRule type="duplicateValues" priority="44" dxfId="0"/>
    <cfRule type="duplicateValues" priority="45" dxfId="0"/>
  </conditionalFormatting>
  <conditionalFormatting sqref="A45">
    <cfRule type="duplicateValues" priority="40" dxfId="0"/>
    <cfRule type="duplicateValues" priority="41" dxfId="0"/>
    <cfRule type="duplicateValues" priority="42" dxfId="0"/>
  </conditionalFormatting>
  <conditionalFormatting sqref="A46">
    <cfRule type="duplicateValues" priority="37" dxfId="0"/>
    <cfRule type="duplicateValues" priority="38" dxfId="0"/>
    <cfRule type="duplicateValues" priority="39" dxfId="0"/>
  </conditionalFormatting>
  <conditionalFormatting sqref="A47">
    <cfRule type="duplicateValues" priority="34" dxfId="0"/>
    <cfRule type="duplicateValues" priority="35" dxfId="0"/>
    <cfRule type="duplicateValues" priority="36" dxfId="0"/>
  </conditionalFormatting>
  <conditionalFormatting sqref="A50">
    <cfRule type="duplicateValues" priority="31" dxfId="0"/>
    <cfRule type="duplicateValues" priority="32" dxfId="0"/>
    <cfRule type="duplicateValues" priority="33" dxfId="0"/>
  </conditionalFormatting>
  <conditionalFormatting sqref="A51">
    <cfRule type="duplicateValues" priority="28" dxfId="0"/>
    <cfRule type="duplicateValues" priority="29" dxfId="0"/>
    <cfRule type="duplicateValues" priority="30" dxfId="0"/>
  </conditionalFormatting>
  <conditionalFormatting sqref="A52">
    <cfRule type="duplicateValues" priority="25" dxfId="0"/>
    <cfRule type="duplicateValues" priority="26" dxfId="0"/>
    <cfRule type="duplicateValues" priority="27" dxfId="0"/>
  </conditionalFormatting>
  <conditionalFormatting sqref="A53">
    <cfRule type="duplicateValues" priority="22" dxfId="0"/>
    <cfRule type="duplicateValues" priority="23" dxfId="0"/>
    <cfRule type="duplicateValues" priority="24" dxfId="0"/>
  </conditionalFormatting>
  <conditionalFormatting sqref="A54">
    <cfRule type="duplicateValues" priority="19" dxfId="0"/>
    <cfRule type="duplicateValues" priority="20" dxfId="0"/>
    <cfRule type="duplicateValues" priority="21" dxfId="0"/>
  </conditionalFormatting>
  <conditionalFormatting sqref="A55">
    <cfRule type="duplicateValues" priority="16" dxfId="0"/>
    <cfRule type="duplicateValues" priority="17" dxfId="0"/>
    <cfRule type="duplicateValues" priority="18" dxfId="0"/>
  </conditionalFormatting>
  <conditionalFormatting sqref="A56">
    <cfRule type="duplicateValues" priority="13" dxfId="0"/>
    <cfRule type="duplicateValues" priority="14" dxfId="0"/>
    <cfRule type="duplicateValues" priority="15" dxfId="0"/>
  </conditionalFormatting>
  <conditionalFormatting sqref="A57">
    <cfRule type="duplicateValues" priority="10" dxfId="0"/>
    <cfRule type="duplicateValues" priority="11" dxfId="0"/>
    <cfRule type="duplicateValues" priority="12" dxfId="0"/>
  </conditionalFormatting>
  <conditionalFormatting sqref="A60">
    <cfRule type="duplicateValues" priority="7" dxfId="0"/>
    <cfRule type="duplicateValues" priority="8" dxfId="0"/>
    <cfRule type="duplicateValues" priority="9" dxfId="0"/>
  </conditionalFormatting>
  <conditionalFormatting sqref="A61">
    <cfRule type="duplicateValues" priority="4" dxfId="0"/>
    <cfRule type="duplicateValues" priority="5" dxfId="0"/>
    <cfRule type="duplicateValues" priority="6" dxfId="0"/>
  </conditionalFormatting>
  <conditionalFormatting sqref="A63">
    <cfRule type="duplicateValues" priority="1" dxfId="0"/>
    <cfRule type="duplicateValues" priority="2" dxfId="0"/>
    <cfRule type="duplicateValues" priority="3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2026-09-24T10:12:37Z</dcterms:modified>
  <cp:lastModifiedBy>Ozodbek Napasov</cp:lastModifiedBy>
  <cp:lastPrinted>2025-01-10T12:35:39Z</cp:lastPrinted>
</cp:coreProperties>
</file>