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Kontrakt\02.10.2026\"/>
    </mc:Choice>
  </mc:AlternateContent>
  <xr:revisionPtr revIDLastSave="0" documentId="13_ncr:1_{7944C611-501B-42DE-8023-0FB13AF3680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KONTRAKTLAR" sheetId="1" r:id="rId1"/>
    <sheet name="yil yakuniga qadar" sheetId="2" r:id="rId2"/>
    <sheet name="Akademik.TSCH" sheetId="3" r:id="rId3"/>
    <sheet name="Minuslar" sheetId="4" r:id="rId4"/>
    <sheet name="Bitirganlar" sheetId="5" r:id="rId5"/>
    <sheet name="не трогать" sheetId="6" state="hidden" r:id="rId6"/>
    <sheet name="KETGAN" sheetId="7" state="hidden" r:id="rId7"/>
    <sheet name="1 chi kurs" sheetId="8" state="hidden" r:id="rId8"/>
  </sheets>
  <definedNames>
    <definedName name="_xlnm._FilterDatabase" localSheetId="4" hidden="1">Bitirganlar!$C$1:$F$1</definedName>
    <definedName name="_xlnm._FilterDatabase" localSheetId="0" hidden="1">KONTRAKTLAR!$C$1:$F$15</definedName>
    <definedName name="_xlnm.Print_Area" localSheetId="4">Bitirganlar!$A$21:$G$101</definedName>
    <definedName name="_xlnm.Print_Area" localSheetId="0">KONTRAKTLAR!$A$17:$G$344</definedName>
    <definedName name="Срез_GURUHI">#N/A</definedName>
    <definedName name="Срез_Guruhi1">#N/A</definedName>
    <definedName name="Срез_GURUHI10">#N/A</definedName>
    <definedName name="Срез_GURUHI2">#N/A</definedName>
    <definedName name="Срез_GURUHI3">#N/A</definedName>
    <definedName name="Срез_GURUHI4">#N/A</definedName>
    <definedName name="Срез_GURUHI5">#N/A</definedName>
    <definedName name="Срез_GURUHI6">#N/A</definedName>
    <definedName name="Срез_GURUHI7">#N/A</definedName>
    <definedName name="Срез_GURUHI8">#N/A</definedName>
    <definedName name="Срез_GURUHI9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H18" i="8"/>
  <c r="G18" i="8"/>
  <c r="F18" i="8"/>
  <c r="E18" i="8"/>
  <c r="H17" i="8"/>
  <c r="G17" i="8"/>
  <c r="F17" i="8"/>
  <c r="E17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H5" i="8"/>
  <c r="G5" i="8"/>
  <c r="F5" i="8"/>
  <c r="E5" i="8"/>
  <c r="H4" i="8"/>
  <c r="G4" i="8"/>
  <c r="F4" i="8"/>
  <c r="E4" i="8"/>
  <c r="H3" i="8"/>
  <c r="G3" i="8"/>
  <c r="F3" i="8"/>
  <c r="E3" i="8"/>
  <c r="H2" i="8"/>
  <c r="G2" i="8"/>
  <c r="F2" i="8"/>
  <c r="E2" i="8"/>
  <c r="H1" i="8"/>
  <c r="G1" i="8"/>
  <c r="F1" i="8"/>
  <c r="E1" i="8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H18" i="7"/>
  <c r="G18" i="7"/>
  <c r="F18" i="7"/>
  <c r="E18" i="7"/>
  <c r="H17" i="7"/>
  <c r="G17" i="7"/>
  <c r="F17" i="7"/>
  <c r="E17" i="7"/>
  <c r="H16" i="7"/>
  <c r="G16" i="7"/>
  <c r="F16" i="7"/>
  <c r="E16" i="7"/>
  <c r="H15" i="7"/>
  <c r="G15" i="7"/>
  <c r="F15" i="7"/>
  <c r="E15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H5" i="7"/>
  <c r="G5" i="7"/>
  <c r="F5" i="7"/>
  <c r="E5" i="7"/>
  <c r="H4" i="7"/>
  <c r="G4" i="7"/>
  <c r="F4" i="7"/>
  <c r="E4" i="7"/>
  <c r="H3" i="7"/>
  <c r="G3" i="7"/>
  <c r="F3" i="7"/>
  <c r="E3" i="7"/>
  <c r="H2" i="7"/>
  <c r="G2" i="7"/>
  <c r="F2" i="7"/>
  <c r="E2" i="7"/>
  <c r="H1" i="7"/>
  <c r="G1" i="7"/>
  <c r="F1" i="7"/>
  <c r="E1" i="7"/>
  <c r="F57" i="6"/>
  <c r="E57" i="6"/>
  <c r="D57" i="6"/>
  <c r="C57" i="6"/>
  <c r="F56" i="6"/>
  <c r="E56" i="6"/>
  <c r="D56" i="6"/>
  <c r="C56" i="6"/>
  <c r="F55" i="6"/>
  <c r="E55" i="6"/>
  <c r="D55" i="6"/>
  <c r="C55" i="6"/>
  <c r="F54" i="6"/>
  <c r="E54" i="6"/>
  <c r="D54" i="6"/>
  <c r="C54" i="6"/>
  <c r="F53" i="6"/>
  <c r="E53" i="6"/>
  <c r="D53" i="6"/>
  <c r="C53" i="6"/>
  <c r="F52" i="6"/>
  <c r="E52" i="6"/>
  <c r="D52" i="6"/>
  <c r="C52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C6" i="6"/>
  <c r="C5" i="6"/>
  <c r="C4" i="6"/>
  <c r="C3" i="6"/>
  <c r="C2" i="6"/>
  <c r="C1" i="6"/>
  <c r="F130" i="5"/>
  <c r="E130" i="5"/>
  <c r="B130" i="5"/>
  <c r="E129" i="5"/>
  <c r="F129" i="5" s="1"/>
  <c r="B129" i="5"/>
  <c r="E128" i="5"/>
  <c r="F128" i="5" s="1"/>
  <c r="B128" i="5"/>
  <c r="E127" i="5"/>
  <c r="F127" i="5" s="1"/>
  <c r="B127" i="5"/>
  <c r="F126" i="5"/>
  <c r="E126" i="5"/>
  <c r="B126" i="5"/>
  <c r="E125" i="5"/>
  <c r="F125" i="5" s="1"/>
  <c r="B125" i="5"/>
  <c r="E124" i="5"/>
  <c r="F124" i="5" s="1"/>
  <c r="B124" i="5"/>
  <c r="E123" i="5"/>
  <c r="F123" i="5" s="1"/>
  <c r="B123" i="5"/>
  <c r="F122" i="5"/>
  <c r="E122" i="5"/>
  <c r="B122" i="5"/>
  <c r="E121" i="5"/>
  <c r="F121" i="5" s="1"/>
  <c r="B121" i="5"/>
  <c r="E120" i="5"/>
  <c r="F120" i="5" s="1"/>
  <c r="B120" i="5"/>
  <c r="E119" i="5"/>
  <c r="F119" i="5" s="1"/>
  <c r="B119" i="5"/>
  <c r="F118" i="5"/>
  <c r="E118" i="5"/>
  <c r="B118" i="5"/>
  <c r="E117" i="5"/>
  <c r="F117" i="5" s="1"/>
  <c r="B117" i="5"/>
  <c r="E116" i="5"/>
  <c r="F116" i="5" s="1"/>
  <c r="B116" i="5"/>
  <c r="E115" i="5"/>
  <c r="F115" i="5" s="1"/>
  <c r="B115" i="5"/>
  <c r="F114" i="5"/>
  <c r="E114" i="5"/>
  <c r="B114" i="5"/>
  <c r="E113" i="5"/>
  <c r="F113" i="5" s="1"/>
  <c r="B113" i="5"/>
  <c r="E112" i="5"/>
  <c r="F112" i="5" s="1"/>
  <c r="B112" i="5"/>
  <c r="E111" i="5"/>
  <c r="F111" i="5" s="1"/>
  <c r="B111" i="5"/>
  <c r="F110" i="5"/>
  <c r="E110" i="5"/>
  <c r="B110" i="5"/>
  <c r="E109" i="5"/>
  <c r="F109" i="5" s="1"/>
  <c r="B109" i="5"/>
  <c r="E108" i="5"/>
  <c r="F108" i="5" s="1"/>
  <c r="B108" i="5"/>
  <c r="E107" i="5"/>
  <c r="F107" i="5" s="1"/>
  <c r="B107" i="5"/>
  <c r="F106" i="5"/>
  <c r="E106" i="5"/>
  <c r="B106" i="5"/>
  <c r="E105" i="5"/>
  <c r="F105" i="5" s="1"/>
  <c r="B105" i="5"/>
  <c r="E104" i="5"/>
  <c r="F104" i="5" s="1"/>
  <c r="B104" i="5"/>
  <c r="E103" i="5"/>
  <c r="F103" i="5" s="1"/>
  <c r="B103" i="5"/>
  <c r="F102" i="5"/>
  <c r="E102" i="5"/>
  <c r="B102" i="5"/>
  <c r="E101" i="5"/>
  <c r="F101" i="5" s="1"/>
  <c r="D101" i="5"/>
  <c r="B101" i="5"/>
  <c r="E100" i="5"/>
  <c r="F100" i="5" s="1"/>
  <c r="B100" i="5"/>
  <c r="E99" i="5"/>
  <c r="D99" i="5"/>
  <c r="F99" i="5" s="1"/>
  <c r="B99" i="5"/>
  <c r="E98" i="5"/>
  <c r="D98" i="5"/>
  <c r="F98" i="5" s="1"/>
  <c r="B98" i="5"/>
  <c r="E97" i="5"/>
  <c r="F97" i="5" s="1"/>
  <c r="B97" i="5"/>
  <c r="E96" i="5"/>
  <c r="F96" i="5" s="1"/>
  <c r="B96" i="5"/>
  <c r="F95" i="5"/>
  <c r="E95" i="5"/>
  <c r="B95" i="5"/>
  <c r="E94" i="5"/>
  <c r="F94" i="5" s="1"/>
  <c r="B94" i="5"/>
  <c r="E93" i="5"/>
  <c r="F93" i="5" s="1"/>
  <c r="B93" i="5"/>
  <c r="E92" i="5"/>
  <c r="F92" i="5" s="1"/>
  <c r="B92" i="5"/>
  <c r="F91" i="5"/>
  <c r="E91" i="5"/>
  <c r="B91" i="5"/>
  <c r="E90" i="5"/>
  <c r="F90" i="5" s="1"/>
  <c r="B90" i="5"/>
  <c r="E89" i="5"/>
  <c r="F89" i="5" s="1"/>
  <c r="B89" i="5"/>
  <c r="E88" i="5"/>
  <c r="D88" i="5"/>
  <c r="F88" i="5" s="1"/>
  <c r="B88" i="5"/>
  <c r="E87" i="5"/>
  <c r="F87" i="5" s="1"/>
  <c r="B87" i="5"/>
  <c r="F86" i="5"/>
  <c r="E86" i="5"/>
  <c r="D86" i="5"/>
  <c r="B86" i="5"/>
  <c r="F85" i="5"/>
  <c r="E85" i="5"/>
  <c r="D85" i="5"/>
  <c r="B85" i="5"/>
  <c r="F84" i="5"/>
  <c r="E84" i="5"/>
  <c r="D84" i="5"/>
  <c r="B84" i="5"/>
  <c r="F83" i="5"/>
  <c r="E83" i="5"/>
  <c r="D83" i="5"/>
  <c r="B83" i="5"/>
  <c r="F82" i="5"/>
  <c r="E82" i="5"/>
  <c r="D82" i="5"/>
  <c r="B82" i="5"/>
  <c r="F81" i="5"/>
  <c r="E81" i="5"/>
  <c r="D81" i="5"/>
  <c r="B81" i="5"/>
  <c r="F80" i="5"/>
  <c r="E80" i="5"/>
  <c r="D80" i="5"/>
  <c r="B80" i="5"/>
  <c r="F79" i="5"/>
  <c r="E79" i="5"/>
  <c r="D79" i="5"/>
  <c r="B79" i="5"/>
  <c r="F78" i="5"/>
  <c r="E78" i="5"/>
  <c r="D78" i="5"/>
  <c r="B78" i="5"/>
  <c r="F77" i="5"/>
  <c r="E77" i="5"/>
  <c r="D77" i="5"/>
  <c r="B77" i="5"/>
  <c r="F76" i="5"/>
  <c r="E76" i="5"/>
  <c r="D76" i="5"/>
  <c r="B76" i="5"/>
  <c r="F75" i="5"/>
  <c r="E75" i="5"/>
  <c r="D75" i="5"/>
  <c r="B75" i="5"/>
  <c r="F74" i="5"/>
  <c r="E74" i="5"/>
  <c r="B74" i="5"/>
  <c r="E73" i="5"/>
  <c r="F73" i="5" s="1"/>
  <c r="B73" i="5"/>
  <c r="E72" i="5"/>
  <c r="F72" i="5" s="1"/>
  <c r="B72" i="5"/>
  <c r="E71" i="5"/>
  <c r="F71" i="5" s="1"/>
  <c r="B71" i="5"/>
  <c r="F70" i="5"/>
  <c r="E70" i="5"/>
  <c r="B70" i="5"/>
  <c r="E69" i="5"/>
  <c r="F69" i="5" s="1"/>
  <c r="B69" i="5"/>
  <c r="E68" i="5"/>
  <c r="F68" i="5" s="1"/>
  <c r="B68" i="5"/>
  <c r="E67" i="5"/>
  <c r="F67" i="5" s="1"/>
  <c r="B67" i="5"/>
  <c r="F66" i="5"/>
  <c r="E66" i="5"/>
  <c r="B66" i="5"/>
  <c r="E65" i="5"/>
  <c r="F65" i="5" s="1"/>
  <c r="B65" i="5"/>
  <c r="E64" i="5"/>
  <c r="F64" i="5" s="1"/>
  <c r="B64" i="5"/>
  <c r="E63" i="5"/>
  <c r="F63" i="5" s="1"/>
  <c r="B63" i="5"/>
  <c r="F62" i="5"/>
  <c r="E62" i="5"/>
  <c r="B62" i="5"/>
  <c r="E61" i="5"/>
  <c r="F61" i="5" s="1"/>
  <c r="B61" i="5"/>
  <c r="E60" i="5"/>
  <c r="F60" i="5" s="1"/>
  <c r="B60" i="5"/>
  <c r="E59" i="5"/>
  <c r="F59" i="5" s="1"/>
  <c r="B59" i="5"/>
  <c r="F58" i="5"/>
  <c r="E58" i="5"/>
  <c r="B58" i="5"/>
  <c r="E57" i="5"/>
  <c r="F57" i="5" s="1"/>
  <c r="B57" i="5"/>
  <c r="E56" i="5"/>
  <c r="F56" i="5" s="1"/>
  <c r="B56" i="5"/>
  <c r="E55" i="5"/>
  <c r="F55" i="5" s="1"/>
  <c r="B55" i="5"/>
  <c r="F54" i="5"/>
  <c r="E54" i="5"/>
  <c r="B54" i="5"/>
  <c r="E53" i="5"/>
  <c r="F53" i="5" s="1"/>
  <c r="B53" i="5"/>
  <c r="E52" i="5"/>
  <c r="F52" i="5" s="1"/>
  <c r="B52" i="5"/>
  <c r="E51" i="5"/>
  <c r="F51" i="5" s="1"/>
  <c r="B51" i="5"/>
  <c r="F50" i="5"/>
  <c r="E50" i="5"/>
  <c r="B50" i="5"/>
  <c r="E49" i="5"/>
  <c r="F49" i="5" s="1"/>
  <c r="B49" i="5"/>
  <c r="E48" i="5"/>
  <c r="F48" i="5" s="1"/>
  <c r="B48" i="5"/>
  <c r="E47" i="5"/>
  <c r="F47" i="5" s="1"/>
  <c r="B47" i="5"/>
  <c r="F46" i="5"/>
  <c r="E46" i="5"/>
  <c r="B46" i="5"/>
  <c r="E45" i="5"/>
  <c r="F45" i="5" s="1"/>
  <c r="B45" i="5"/>
  <c r="E44" i="5"/>
  <c r="F44" i="5" s="1"/>
  <c r="B44" i="5"/>
  <c r="E43" i="5"/>
  <c r="F43" i="5" s="1"/>
  <c r="B43" i="5"/>
  <c r="F42" i="5"/>
  <c r="E42" i="5"/>
  <c r="B42" i="5"/>
  <c r="E41" i="5"/>
  <c r="F41" i="5" s="1"/>
  <c r="B41" i="5"/>
  <c r="E40" i="5"/>
  <c r="F40" i="5" s="1"/>
  <c r="B40" i="5"/>
  <c r="F39" i="5"/>
  <c r="B39" i="5"/>
  <c r="E38" i="5"/>
  <c r="F38" i="5" s="1"/>
  <c r="B38" i="5"/>
  <c r="E37" i="5"/>
  <c r="F37" i="5" s="1"/>
  <c r="B37" i="5"/>
  <c r="E36" i="5"/>
  <c r="F36" i="5" s="1"/>
  <c r="B36" i="5"/>
  <c r="F35" i="5"/>
  <c r="E35" i="5"/>
  <c r="B35" i="5"/>
  <c r="E34" i="5"/>
  <c r="F34" i="5" s="1"/>
  <c r="B34" i="5"/>
  <c r="E33" i="5"/>
  <c r="F33" i="5" s="1"/>
  <c r="B33" i="5"/>
  <c r="E32" i="5"/>
  <c r="F32" i="5" s="1"/>
  <c r="B32" i="5"/>
  <c r="F31" i="5"/>
  <c r="E31" i="5"/>
  <c r="B31" i="5"/>
  <c r="E30" i="5"/>
  <c r="F30" i="5" s="1"/>
  <c r="B30" i="5"/>
  <c r="E29" i="5"/>
  <c r="F29" i="5" s="1"/>
  <c r="B29" i="5"/>
  <c r="E28" i="5"/>
  <c r="F28" i="5" s="1"/>
  <c r="B28" i="5"/>
  <c r="F27" i="5"/>
  <c r="E2" i="5" s="1"/>
  <c r="E27" i="5"/>
  <c r="B27" i="5"/>
  <c r="E26" i="5"/>
  <c r="F26" i="5" s="1"/>
  <c r="B26" i="5"/>
  <c r="E25" i="5"/>
  <c r="F25" i="5" s="1"/>
  <c r="B25" i="5"/>
  <c r="E24" i="5"/>
  <c r="D24" i="5"/>
  <c r="D131" i="5" s="1"/>
  <c r="B24" i="5"/>
  <c r="E23" i="5"/>
  <c r="B23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E8" i="5"/>
  <c r="F7" i="5"/>
  <c r="E7" i="5"/>
  <c r="F6" i="5"/>
  <c r="E6" i="5"/>
  <c r="F5" i="5"/>
  <c r="E5" i="5"/>
  <c r="E19" i="5" s="1"/>
  <c r="C6" i="4"/>
  <c r="C10" i="4" s="1"/>
  <c r="F57" i="3"/>
  <c r="B57" i="3"/>
  <c r="F51" i="3"/>
  <c r="E51" i="3"/>
  <c r="D51" i="3"/>
  <c r="B51" i="3"/>
  <c r="F50" i="3"/>
  <c r="E50" i="3"/>
  <c r="D50" i="3"/>
  <c r="B50" i="3"/>
  <c r="F49" i="3"/>
  <c r="E49" i="3"/>
  <c r="D49" i="3"/>
  <c r="B49" i="3"/>
  <c r="F48" i="3"/>
  <c r="D48" i="3"/>
  <c r="B48" i="3"/>
  <c r="E47" i="3"/>
  <c r="F47" i="3" s="1"/>
  <c r="D47" i="3"/>
  <c r="B47" i="3"/>
  <c r="E46" i="3"/>
  <c r="F46" i="3" s="1"/>
  <c r="D46" i="3"/>
  <c r="B46" i="3"/>
  <c r="E45" i="3"/>
  <c r="F45" i="3" s="1"/>
  <c r="D45" i="3"/>
  <c r="B45" i="3"/>
  <c r="E44" i="3"/>
  <c r="F44" i="3" s="1"/>
  <c r="D44" i="3"/>
  <c r="B44" i="3"/>
  <c r="E43" i="3"/>
  <c r="F43" i="3" s="1"/>
  <c r="B43" i="3"/>
  <c r="E42" i="3"/>
  <c r="D42" i="3"/>
  <c r="B42" i="3"/>
  <c r="E38" i="3"/>
  <c r="B38" i="3"/>
  <c r="E37" i="3"/>
  <c r="D37" i="3"/>
  <c r="B37" i="3"/>
  <c r="E36" i="3"/>
  <c r="D36" i="3"/>
  <c r="B36" i="3"/>
  <c r="E35" i="3"/>
  <c r="D35" i="3"/>
  <c r="F35" i="3" s="1"/>
  <c r="B35" i="3"/>
  <c r="E34" i="3"/>
  <c r="D34" i="3"/>
  <c r="F34" i="3" s="1"/>
  <c r="B34" i="3"/>
  <c r="E33" i="3"/>
  <c r="D33" i="3"/>
  <c r="B33" i="3"/>
  <c r="E32" i="3"/>
  <c r="D32" i="3"/>
  <c r="B32" i="3"/>
  <c r="D31" i="3"/>
  <c r="F31" i="3" s="1"/>
  <c r="B31" i="3"/>
  <c r="E30" i="3"/>
  <c r="D30" i="3"/>
  <c r="F30" i="3" s="1"/>
  <c r="B30" i="3"/>
  <c r="E29" i="3"/>
  <c r="D29" i="3"/>
  <c r="F29" i="3" s="1"/>
  <c r="B29" i="3"/>
  <c r="E28" i="3"/>
  <c r="D28" i="3"/>
  <c r="F28" i="3" s="1"/>
  <c r="B28" i="3"/>
  <c r="E27" i="3"/>
  <c r="D27" i="3"/>
  <c r="F27" i="3" s="1"/>
  <c r="B27" i="3"/>
  <c r="E26" i="3"/>
  <c r="D26" i="3"/>
  <c r="F26" i="3" s="1"/>
  <c r="B26" i="3"/>
  <c r="E25" i="3"/>
  <c r="D25" i="3"/>
  <c r="F25" i="3" s="1"/>
  <c r="B25" i="3"/>
  <c r="E24" i="3"/>
  <c r="D24" i="3"/>
  <c r="F24" i="3" s="1"/>
  <c r="B24" i="3"/>
  <c r="E23" i="3"/>
  <c r="D23" i="3"/>
  <c r="F23" i="3" s="1"/>
  <c r="B23" i="3"/>
  <c r="E22" i="3"/>
  <c r="D22" i="3"/>
  <c r="F22" i="3" s="1"/>
  <c r="B22" i="3"/>
  <c r="E21" i="3"/>
  <c r="D21" i="3"/>
  <c r="F21" i="3" s="1"/>
  <c r="B21" i="3"/>
  <c r="E20" i="3"/>
  <c r="D20" i="3"/>
  <c r="F20" i="3" s="1"/>
  <c r="B20" i="3"/>
  <c r="E19" i="3"/>
  <c r="D19" i="3"/>
  <c r="F19" i="3" s="1"/>
  <c r="B19" i="3"/>
  <c r="E18" i="3"/>
  <c r="D18" i="3"/>
  <c r="F18" i="3" s="1"/>
  <c r="B18" i="3"/>
  <c r="E17" i="3"/>
  <c r="D17" i="3"/>
  <c r="F17" i="3" s="1"/>
  <c r="B17" i="3"/>
  <c r="E16" i="3"/>
  <c r="D16" i="3"/>
  <c r="F16" i="3" s="1"/>
  <c r="B16" i="3"/>
  <c r="E15" i="3"/>
  <c r="D15" i="3"/>
  <c r="F15" i="3" s="1"/>
  <c r="B15" i="3"/>
  <c r="E14" i="3"/>
  <c r="D14" i="3"/>
  <c r="F14" i="3" s="1"/>
  <c r="B14" i="3"/>
  <c r="F13" i="3"/>
  <c r="E13" i="3"/>
  <c r="B13" i="3"/>
  <c r="F12" i="3"/>
  <c r="E12" i="3"/>
  <c r="B12" i="3"/>
  <c r="E11" i="3"/>
  <c r="F11" i="3" s="1"/>
  <c r="D11" i="3"/>
  <c r="B11" i="3"/>
  <c r="E10" i="3"/>
  <c r="F10" i="3" s="1"/>
  <c r="D10" i="3"/>
  <c r="B10" i="3"/>
  <c r="E9" i="3"/>
  <c r="F9" i="3" s="1"/>
  <c r="D9" i="3"/>
  <c r="B9" i="3"/>
  <c r="E8" i="3"/>
  <c r="F8" i="3" s="1"/>
  <c r="D8" i="3"/>
  <c r="B8" i="3"/>
  <c r="E7" i="3"/>
  <c r="F7" i="3" s="1"/>
  <c r="D7" i="3"/>
  <c r="B7" i="3"/>
  <c r="E6" i="3"/>
  <c r="F6" i="3" s="1"/>
  <c r="B6" i="3"/>
  <c r="E5" i="3"/>
  <c r="D5" i="3"/>
  <c r="F5" i="3" s="1"/>
  <c r="B5" i="3"/>
  <c r="E4" i="3"/>
  <c r="E58" i="3" s="1"/>
  <c r="D4" i="3"/>
  <c r="B4" i="3"/>
  <c r="C15" i="2"/>
  <c r="C14" i="2"/>
  <c r="C13" i="2"/>
  <c r="C12" i="2"/>
  <c r="C11" i="2"/>
  <c r="C10" i="2"/>
  <c r="C9" i="2"/>
  <c r="C8" i="2"/>
  <c r="C7" i="2"/>
  <c r="C6" i="2"/>
  <c r="G5" i="2"/>
  <c r="F5" i="2"/>
  <c r="D5" i="2"/>
  <c r="E5" i="2" s="1"/>
  <c r="C5" i="2"/>
  <c r="C4" i="2"/>
  <c r="C3" i="2"/>
  <c r="C2" i="2"/>
  <c r="D340" i="1"/>
  <c r="F340" i="1" s="1"/>
  <c r="B340" i="1"/>
  <c r="F339" i="1"/>
  <c r="D339" i="1"/>
  <c r="B339" i="1"/>
  <c r="D338" i="1"/>
  <c r="F338" i="1" s="1"/>
  <c r="B338" i="1"/>
  <c r="E337" i="1"/>
  <c r="D337" i="1"/>
  <c r="F337" i="1" s="1"/>
  <c r="B337" i="1"/>
  <c r="F336" i="1"/>
  <c r="D336" i="1"/>
  <c r="B336" i="1"/>
  <c r="F335" i="1"/>
  <c r="D335" i="1"/>
  <c r="B335" i="1"/>
  <c r="F334" i="1"/>
  <c r="D334" i="1"/>
  <c r="B334" i="1"/>
  <c r="E333" i="1"/>
  <c r="D333" i="1"/>
  <c r="B333" i="1"/>
  <c r="D332" i="1"/>
  <c r="F332" i="1" s="1"/>
  <c r="B332" i="1"/>
  <c r="F331" i="1"/>
  <c r="D331" i="1"/>
  <c r="B331" i="1"/>
  <c r="F330" i="1"/>
  <c r="D330" i="1"/>
  <c r="B330" i="1"/>
  <c r="D329" i="1"/>
  <c r="F329" i="1" s="1"/>
  <c r="B329" i="1"/>
  <c r="D328" i="1"/>
  <c r="F328" i="1" s="1"/>
  <c r="B328" i="1"/>
  <c r="F327" i="1"/>
  <c r="D327" i="1"/>
  <c r="B327" i="1"/>
  <c r="D326" i="1"/>
  <c r="F326" i="1" s="1"/>
  <c r="B326" i="1"/>
  <c r="F325" i="1"/>
  <c r="D325" i="1"/>
  <c r="B325" i="1"/>
  <c r="D324" i="1"/>
  <c r="F324" i="1" s="1"/>
  <c r="B324" i="1"/>
  <c r="F323" i="1"/>
  <c r="D323" i="1"/>
  <c r="B323" i="1"/>
  <c r="F322" i="1"/>
  <c r="D322" i="1"/>
  <c r="B322" i="1"/>
  <c r="F321" i="1"/>
  <c r="D321" i="1"/>
  <c r="B321" i="1"/>
  <c r="D320" i="1"/>
  <c r="F320" i="1" s="1"/>
  <c r="B320" i="1"/>
  <c r="F319" i="1"/>
  <c r="D319" i="1"/>
  <c r="B319" i="1"/>
  <c r="F318" i="1"/>
  <c r="D318" i="1"/>
  <c r="B318" i="1"/>
  <c r="F317" i="1"/>
  <c r="D317" i="1"/>
  <c r="B317" i="1"/>
  <c r="D316" i="1"/>
  <c r="F316" i="1" s="1"/>
  <c r="B316" i="1"/>
  <c r="F315" i="1"/>
  <c r="D315" i="1"/>
  <c r="B315" i="1"/>
  <c r="F314" i="1"/>
  <c r="E314" i="1"/>
  <c r="D314" i="1"/>
  <c r="B314" i="1"/>
  <c r="F313" i="1"/>
  <c r="D313" i="1"/>
  <c r="B313" i="1"/>
  <c r="D312" i="1"/>
  <c r="F312" i="1" s="1"/>
  <c r="B312" i="1"/>
  <c r="D311" i="1"/>
  <c r="F311" i="1" s="1"/>
  <c r="B311" i="1"/>
  <c r="F310" i="1"/>
  <c r="D310" i="1"/>
  <c r="B310" i="1"/>
  <c r="D309" i="1"/>
  <c r="F309" i="1" s="1"/>
  <c r="B309" i="1"/>
  <c r="E308" i="1"/>
  <c r="D308" i="1"/>
  <c r="F308" i="1" s="1"/>
  <c r="B308" i="1"/>
  <c r="F307" i="1"/>
  <c r="D307" i="1"/>
  <c r="B307" i="1"/>
  <c r="D306" i="1"/>
  <c r="F306" i="1" s="1"/>
  <c r="B306" i="1"/>
  <c r="F305" i="1"/>
  <c r="D305" i="1"/>
  <c r="B305" i="1"/>
  <c r="F304" i="1"/>
  <c r="D304" i="1"/>
  <c r="B304" i="1"/>
  <c r="F303" i="1"/>
  <c r="D303" i="1"/>
  <c r="B303" i="1"/>
  <c r="D302" i="1"/>
  <c r="F302" i="1" s="1"/>
  <c r="B302" i="1"/>
  <c r="F301" i="1"/>
  <c r="D301" i="1"/>
  <c r="B301" i="1"/>
  <c r="F300" i="1"/>
  <c r="E300" i="1"/>
  <c r="D300" i="1"/>
  <c r="B300" i="1"/>
  <c r="F299" i="1"/>
  <c r="E299" i="1"/>
  <c r="D299" i="1"/>
  <c r="B299" i="1"/>
  <c r="F298" i="1"/>
  <c r="D298" i="1"/>
  <c r="B298" i="1"/>
  <c r="F297" i="1"/>
  <c r="D297" i="1"/>
  <c r="B297" i="1"/>
  <c r="D296" i="1"/>
  <c r="F296" i="1" s="1"/>
  <c r="B296" i="1"/>
  <c r="F295" i="1"/>
  <c r="D295" i="1"/>
  <c r="B295" i="1"/>
  <c r="F294" i="1"/>
  <c r="D294" i="1"/>
  <c r="B294" i="1"/>
  <c r="D293" i="1"/>
  <c r="F293" i="1" s="1"/>
  <c r="B293" i="1"/>
  <c r="D292" i="1"/>
  <c r="F292" i="1" s="1"/>
  <c r="B292" i="1"/>
  <c r="F291" i="1"/>
  <c r="D291" i="1"/>
  <c r="B291" i="1"/>
  <c r="D290" i="1"/>
  <c r="F290" i="1" s="1"/>
  <c r="B290" i="1"/>
  <c r="F289" i="1"/>
  <c r="D289" i="1"/>
  <c r="B289" i="1"/>
  <c r="D288" i="1"/>
  <c r="F288" i="1" s="1"/>
  <c r="B288" i="1"/>
  <c r="E287" i="1"/>
  <c r="D287" i="1"/>
  <c r="F287" i="1" s="1"/>
  <c r="B287" i="1"/>
  <c r="F286" i="1"/>
  <c r="D286" i="1"/>
  <c r="B286" i="1"/>
  <c r="F285" i="1"/>
  <c r="D285" i="1"/>
  <c r="B285" i="1"/>
  <c r="F284" i="1"/>
  <c r="E284" i="1"/>
  <c r="D284" i="1"/>
  <c r="B284" i="1"/>
  <c r="F283" i="1"/>
  <c r="E283" i="1"/>
  <c r="D283" i="1"/>
  <c r="B283" i="1"/>
  <c r="F282" i="1"/>
  <c r="E282" i="1"/>
  <c r="D282" i="1"/>
  <c r="B282" i="1"/>
  <c r="F281" i="1"/>
  <c r="D281" i="1"/>
  <c r="B281" i="1"/>
  <c r="D280" i="1"/>
  <c r="F280" i="1" s="1"/>
  <c r="B280" i="1"/>
  <c r="F279" i="1"/>
  <c r="D279" i="1"/>
  <c r="B279" i="1"/>
  <c r="F278" i="1"/>
  <c r="D278" i="1"/>
  <c r="B278" i="1"/>
  <c r="F277" i="1"/>
  <c r="E277" i="1"/>
  <c r="D277" i="1"/>
  <c r="B277" i="1"/>
  <c r="F276" i="1"/>
  <c r="D276" i="1"/>
  <c r="B276" i="1"/>
  <c r="D275" i="1"/>
  <c r="F275" i="1" s="1"/>
  <c r="B275" i="1"/>
  <c r="F274" i="1"/>
  <c r="D274" i="1"/>
  <c r="B274" i="1"/>
  <c r="F273" i="1"/>
  <c r="D273" i="1"/>
  <c r="B273" i="1"/>
  <c r="D272" i="1"/>
  <c r="F272" i="1" s="1"/>
  <c r="B272" i="1"/>
  <c r="D271" i="1"/>
  <c r="F271" i="1" s="1"/>
  <c r="B271" i="1"/>
  <c r="F270" i="1"/>
  <c r="D270" i="1"/>
  <c r="B270" i="1"/>
  <c r="D269" i="1"/>
  <c r="F269" i="1" s="1"/>
  <c r="B269" i="1"/>
  <c r="F268" i="1"/>
  <c r="D268" i="1"/>
  <c r="B268" i="1"/>
  <c r="D267" i="1"/>
  <c r="F267" i="1" s="1"/>
  <c r="B267" i="1"/>
  <c r="F266" i="1"/>
  <c r="D266" i="1"/>
  <c r="B266" i="1"/>
  <c r="F265" i="1"/>
  <c r="D265" i="1"/>
  <c r="B265" i="1"/>
  <c r="F264" i="1"/>
  <c r="D264" i="1"/>
  <c r="B264" i="1"/>
  <c r="D263" i="1"/>
  <c r="F263" i="1" s="1"/>
  <c r="B263" i="1"/>
  <c r="F262" i="1"/>
  <c r="D262" i="1"/>
  <c r="B262" i="1"/>
  <c r="F261" i="1"/>
  <c r="D261" i="1"/>
  <c r="B261" i="1"/>
  <c r="F260" i="1"/>
  <c r="D260" i="1"/>
  <c r="B260" i="1"/>
  <c r="D259" i="1"/>
  <c r="F259" i="1" s="1"/>
  <c r="B259" i="1"/>
  <c r="F258" i="1"/>
  <c r="E258" i="1"/>
  <c r="B258" i="1"/>
  <c r="F257" i="1"/>
  <c r="B257" i="1"/>
  <c r="F256" i="1"/>
  <c r="B256" i="1"/>
  <c r="F255" i="1"/>
  <c r="B255" i="1"/>
  <c r="D254" i="1"/>
  <c r="F254" i="1" s="1"/>
  <c r="B254" i="1"/>
  <c r="F253" i="1"/>
  <c r="D253" i="1"/>
  <c r="B253" i="1"/>
  <c r="D252" i="1"/>
  <c r="F252" i="1" s="1"/>
  <c r="B252" i="1"/>
  <c r="F251" i="1"/>
  <c r="D251" i="1"/>
  <c r="B251" i="1"/>
  <c r="D250" i="1"/>
  <c r="F250" i="1" s="1"/>
  <c r="B250" i="1"/>
  <c r="F249" i="1"/>
  <c r="D249" i="1"/>
  <c r="B249" i="1"/>
  <c r="F248" i="1"/>
  <c r="D248" i="1"/>
  <c r="B248" i="1"/>
  <c r="F247" i="1"/>
  <c r="D247" i="1"/>
  <c r="B247" i="1"/>
  <c r="D246" i="1"/>
  <c r="F246" i="1" s="1"/>
  <c r="B246" i="1"/>
  <c r="E245" i="1"/>
  <c r="D245" i="1"/>
  <c r="F245" i="1" s="1"/>
  <c r="B245" i="1"/>
  <c r="F244" i="1"/>
  <c r="D244" i="1"/>
  <c r="B244" i="1"/>
  <c r="F243" i="1"/>
  <c r="D243" i="1"/>
  <c r="B243" i="1"/>
  <c r="F242" i="1"/>
  <c r="D242" i="1"/>
  <c r="B242" i="1"/>
  <c r="E241" i="1"/>
  <c r="D241" i="1"/>
  <c r="F241" i="1" s="1"/>
  <c r="B241" i="1"/>
  <c r="D240" i="1"/>
  <c r="F240" i="1" s="1"/>
  <c r="B240" i="1"/>
  <c r="F239" i="1"/>
  <c r="D239" i="1"/>
  <c r="B239" i="1"/>
  <c r="D238" i="1"/>
  <c r="F238" i="1" s="1"/>
  <c r="B238" i="1"/>
  <c r="F237" i="1"/>
  <c r="D237" i="1"/>
  <c r="B237" i="1"/>
  <c r="D236" i="1"/>
  <c r="F236" i="1" s="1"/>
  <c r="B236" i="1"/>
  <c r="F235" i="1"/>
  <c r="D235" i="1"/>
  <c r="B235" i="1"/>
  <c r="F234" i="1"/>
  <c r="D234" i="1"/>
  <c r="B234" i="1"/>
  <c r="F233" i="1"/>
  <c r="D233" i="1"/>
  <c r="B233" i="1"/>
  <c r="D232" i="1"/>
  <c r="F232" i="1" s="1"/>
  <c r="B232" i="1"/>
  <c r="F231" i="1"/>
  <c r="D231" i="1"/>
  <c r="B231" i="1"/>
  <c r="F230" i="1"/>
  <c r="D230" i="1"/>
  <c r="B230" i="1"/>
  <c r="F229" i="1"/>
  <c r="D229" i="1"/>
  <c r="B229" i="1"/>
  <c r="D228" i="1"/>
  <c r="F228" i="1" s="1"/>
  <c r="B228" i="1"/>
  <c r="F227" i="1"/>
  <c r="D227" i="1"/>
  <c r="B227" i="1"/>
  <c r="F226" i="1"/>
  <c r="D226" i="1"/>
  <c r="B226" i="1"/>
  <c r="D225" i="1"/>
  <c r="F225" i="1" s="1"/>
  <c r="B225" i="1"/>
  <c r="D224" i="1"/>
  <c r="F224" i="1" s="1"/>
  <c r="B224" i="1"/>
  <c r="F223" i="1"/>
  <c r="D223" i="1"/>
  <c r="B223" i="1"/>
  <c r="D222" i="1"/>
  <c r="F222" i="1" s="1"/>
  <c r="B222" i="1"/>
  <c r="F221" i="1"/>
  <c r="D221" i="1"/>
  <c r="B221" i="1"/>
  <c r="D220" i="1"/>
  <c r="F220" i="1" s="1"/>
  <c r="B220" i="1"/>
  <c r="F219" i="1"/>
  <c r="D219" i="1"/>
  <c r="B219" i="1"/>
  <c r="F218" i="1"/>
  <c r="D218" i="1"/>
  <c r="B218" i="1"/>
  <c r="F217" i="1"/>
  <c r="E217" i="1"/>
  <c r="D217" i="1"/>
  <c r="B217" i="1"/>
  <c r="F216" i="1"/>
  <c r="E216" i="1"/>
  <c r="F6" i="2" s="1"/>
  <c r="D216" i="1"/>
  <c r="B216" i="1"/>
  <c r="F215" i="1"/>
  <c r="E215" i="1"/>
  <c r="D215" i="1"/>
  <c r="B215" i="1"/>
  <c r="F214" i="1"/>
  <c r="D214" i="1"/>
  <c r="B214" i="1"/>
  <c r="D213" i="1"/>
  <c r="F213" i="1" s="1"/>
  <c r="B213" i="1"/>
  <c r="F212" i="1"/>
  <c r="D212" i="1"/>
  <c r="B212" i="1"/>
  <c r="F211" i="1"/>
  <c r="E211" i="1"/>
  <c r="D211" i="1"/>
  <c r="B211" i="1"/>
  <c r="F210" i="1"/>
  <c r="D210" i="1"/>
  <c r="B210" i="1"/>
  <c r="F209" i="1"/>
  <c r="E209" i="1"/>
  <c r="D209" i="1"/>
  <c r="B209" i="1"/>
  <c r="F208" i="1"/>
  <c r="D208" i="1"/>
  <c r="B208" i="1"/>
  <c r="E207" i="1"/>
  <c r="D207" i="1"/>
  <c r="F207" i="1" s="1"/>
  <c r="B207" i="1"/>
  <c r="D206" i="1"/>
  <c r="F206" i="1" s="1"/>
  <c r="B206" i="1"/>
  <c r="F205" i="1"/>
  <c r="D205" i="1"/>
  <c r="B205" i="1"/>
  <c r="D204" i="1"/>
  <c r="F204" i="1" s="1"/>
  <c r="B204" i="1"/>
  <c r="F203" i="1"/>
  <c r="D203" i="1"/>
  <c r="B203" i="1"/>
  <c r="D202" i="1"/>
  <c r="F202" i="1" s="1"/>
  <c r="B202" i="1"/>
  <c r="F42" i="1"/>
  <c r="E42" i="1"/>
  <c r="D42" i="1"/>
  <c r="B42" i="1"/>
  <c r="F200" i="1"/>
  <c r="D200" i="1"/>
  <c r="B200" i="1"/>
  <c r="D199" i="1"/>
  <c r="F199" i="1" s="1"/>
  <c r="B199" i="1"/>
  <c r="E198" i="1"/>
  <c r="D198" i="1"/>
  <c r="F198" i="1" s="1"/>
  <c r="B198" i="1"/>
  <c r="E197" i="1"/>
  <c r="D197" i="1"/>
  <c r="F197" i="1" s="1"/>
  <c r="B197" i="1"/>
  <c r="E196" i="1"/>
  <c r="D196" i="1"/>
  <c r="F196" i="1" s="1"/>
  <c r="B196" i="1"/>
  <c r="E195" i="1"/>
  <c r="D195" i="1"/>
  <c r="F195" i="1" s="1"/>
  <c r="B195" i="1"/>
  <c r="E194" i="1"/>
  <c r="D194" i="1"/>
  <c r="F194" i="1" s="1"/>
  <c r="B194" i="1"/>
  <c r="E193" i="1"/>
  <c r="D193" i="1"/>
  <c r="F193" i="1" s="1"/>
  <c r="B193" i="1"/>
  <c r="E192" i="1"/>
  <c r="D192" i="1"/>
  <c r="F192" i="1" s="1"/>
  <c r="B192" i="1"/>
  <c r="E191" i="1"/>
  <c r="D191" i="1"/>
  <c r="F191" i="1" s="1"/>
  <c r="B191" i="1"/>
  <c r="E190" i="1"/>
  <c r="D190" i="1"/>
  <c r="F190" i="1" s="1"/>
  <c r="B190" i="1"/>
  <c r="E189" i="1"/>
  <c r="D189" i="1"/>
  <c r="F189" i="1" s="1"/>
  <c r="B189" i="1"/>
  <c r="E188" i="1"/>
  <c r="D188" i="1"/>
  <c r="F188" i="1" s="1"/>
  <c r="B188" i="1"/>
  <c r="F187" i="1"/>
  <c r="D187" i="1"/>
  <c r="B187" i="1"/>
  <c r="F186" i="1"/>
  <c r="E186" i="1"/>
  <c r="D186" i="1"/>
  <c r="B186" i="1"/>
  <c r="F185" i="1"/>
  <c r="E185" i="1"/>
  <c r="D185" i="1"/>
  <c r="B185" i="1"/>
  <c r="F184" i="1"/>
  <c r="D184" i="1"/>
  <c r="B184" i="1"/>
  <c r="F183" i="1"/>
  <c r="D183" i="1"/>
  <c r="B183" i="1"/>
  <c r="E182" i="1"/>
  <c r="D182" i="1"/>
  <c r="B182" i="1"/>
  <c r="E181" i="1"/>
  <c r="D181" i="1"/>
  <c r="F181" i="1" s="1"/>
  <c r="B181" i="1"/>
  <c r="E180" i="1"/>
  <c r="D180" i="1"/>
  <c r="B180" i="1"/>
  <c r="E179" i="1"/>
  <c r="D179" i="1"/>
  <c r="B179" i="1"/>
  <c r="D178" i="1"/>
  <c r="F178" i="1" s="1"/>
  <c r="B178" i="1"/>
  <c r="E177" i="1"/>
  <c r="D177" i="1"/>
  <c r="F177" i="1" s="1"/>
  <c r="B177" i="1"/>
  <c r="E176" i="1"/>
  <c r="D176" i="1"/>
  <c r="F176" i="1" s="1"/>
  <c r="B176" i="1"/>
  <c r="E175" i="1"/>
  <c r="D175" i="1"/>
  <c r="F175" i="1" s="1"/>
  <c r="B175" i="1"/>
  <c r="E174" i="1"/>
  <c r="D174" i="1"/>
  <c r="F174" i="1" s="1"/>
  <c r="B174" i="1"/>
  <c r="F173" i="1"/>
  <c r="D173" i="1"/>
  <c r="B173" i="1"/>
  <c r="F172" i="1"/>
  <c r="D172" i="1"/>
  <c r="B172" i="1"/>
  <c r="F171" i="1"/>
  <c r="E171" i="1"/>
  <c r="D171" i="1"/>
  <c r="B171" i="1"/>
  <c r="F170" i="1"/>
  <c r="E170" i="1"/>
  <c r="D170" i="1"/>
  <c r="B170" i="1"/>
  <c r="F169" i="1"/>
  <c r="E169" i="1"/>
  <c r="D169" i="1"/>
  <c r="B169" i="1"/>
  <c r="F168" i="1"/>
  <c r="E168" i="1"/>
  <c r="D168" i="1"/>
  <c r="B168" i="1"/>
  <c r="F167" i="1"/>
  <c r="E167" i="1"/>
  <c r="D167" i="1"/>
  <c r="B167" i="1"/>
  <c r="F166" i="1"/>
  <c r="E166" i="1"/>
  <c r="D166" i="1"/>
  <c r="B166" i="1"/>
  <c r="F165" i="1"/>
  <c r="E165" i="1"/>
  <c r="D165" i="1"/>
  <c r="B165" i="1"/>
  <c r="F164" i="1"/>
  <c r="E164" i="1"/>
  <c r="D164" i="1"/>
  <c r="B164" i="1"/>
  <c r="F163" i="1"/>
  <c r="E163" i="1"/>
  <c r="D163" i="1"/>
  <c r="B163" i="1"/>
  <c r="F162" i="1"/>
  <c r="E162" i="1"/>
  <c r="D162" i="1"/>
  <c r="B162" i="1"/>
  <c r="F161" i="1"/>
  <c r="E161" i="1"/>
  <c r="D161" i="1"/>
  <c r="B161" i="1"/>
  <c r="F160" i="1"/>
  <c r="E160" i="1"/>
  <c r="D160" i="1"/>
  <c r="B160" i="1"/>
  <c r="F159" i="1"/>
  <c r="E159" i="1"/>
  <c r="D159" i="1"/>
  <c r="B159" i="1"/>
  <c r="F158" i="1"/>
  <c r="E158" i="1"/>
  <c r="D158" i="1"/>
  <c r="B158" i="1"/>
  <c r="F157" i="1"/>
  <c r="D157" i="1"/>
  <c r="B157" i="1"/>
  <c r="E156" i="1"/>
  <c r="D156" i="1"/>
  <c r="F156" i="1" s="1"/>
  <c r="B156" i="1"/>
  <c r="D155" i="1"/>
  <c r="F155" i="1" s="1"/>
  <c r="B155" i="1"/>
  <c r="E154" i="1"/>
  <c r="D154" i="1"/>
  <c r="F154" i="1" s="1"/>
  <c r="B154" i="1"/>
  <c r="E153" i="1"/>
  <c r="D153" i="1"/>
  <c r="F153" i="1" s="1"/>
  <c r="B153" i="1"/>
  <c r="E152" i="1"/>
  <c r="D152" i="1"/>
  <c r="F152" i="1" s="1"/>
  <c r="B152" i="1"/>
  <c r="E151" i="1"/>
  <c r="D151" i="1"/>
  <c r="F151" i="1" s="1"/>
  <c r="B151" i="1"/>
  <c r="E150" i="1"/>
  <c r="D150" i="1"/>
  <c r="F150" i="1" s="1"/>
  <c r="B150" i="1"/>
  <c r="E149" i="1"/>
  <c r="D149" i="1"/>
  <c r="F149" i="1" s="1"/>
  <c r="B149" i="1"/>
  <c r="F148" i="1"/>
  <c r="D148" i="1"/>
  <c r="B148" i="1"/>
  <c r="F147" i="1"/>
  <c r="E147" i="1"/>
  <c r="D147" i="1"/>
  <c r="B147" i="1"/>
  <c r="F146" i="1"/>
  <c r="E146" i="1"/>
  <c r="D146" i="1"/>
  <c r="B146" i="1"/>
  <c r="F145" i="1"/>
  <c r="D145" i="1"/>
  <c r="B145" i="1"/>
  <c r="F144" i="1"/>
  <c r="E144" i="1"/>
  <c r="D144" i="1"/>
  <c r="B144" i="1"/>
  <c r="F143" i="1"/>
  <c r="D143" i="1"/>
  <c r="B143" i="1"/>
  <c r="E142" i="1"/>
  <c r="D142" i="1"/>
  <c r="F142" i="1" s="1"/>
  <c r="B142" i="1"/>
  <c r="D141" i="1"/>
  <c r="F141" i="1" s="1"/>
  <c r="B141" i="1"/>
  <c r="E140" i="1"/>
  <c r="D140" i="1"/>
  <c r="F140" i="1" s="1"/>
  <c r="B140" i="1"/>
  <c r="E139" i="1"/>
  <c r="D139" i="1"/>
  <c r="F139" i="1" s="1"/>
  <c r="B139" i="1"/>
  <c r="E138" i="1"/>
  <c r="D138" i="1"/>
  <c r="F138" i="1" s="1"/>
  <c r="B138" i="1"/>
  <c r="E137" i="1"/>
  <c r="D137" i="1"/>
  <c r="F137" i="1" s="1"/>
  <c r="B137" i="1"/>
  <c r="E136" i="1"/>
  <c r="D136" i="1"/>
  <c r="F136" i="1" s="1"/>
  <c r="B136" i="1"/>
  <c r="E135" i="1"/>
  <c r="D135" i="1"/>
  <c r="F135" i="1" s="1"/>
  <c r="B135" i="1"/>
  <c r="E134" i="1"/>
  <c r="D134" i="1"/>
  <c r="F134" i="1" s="1"/>
  <c r="B134" i="1"/>
  <c r="E133" i="1"/>
  <c r="D133" i="1"/>
  <c r="F133" i="1" s="1"/>
  <c r="B133" i="1"/>
  <c r="E132" i="1"/>
  <c r="D132" i="1"/>
  <c r="F132" i="1" s="1"/>
  <c r="B132" i="1"/>
  <c r="E131" i="1"/>
  <c r="D131" i="1"/>
  <c r="F131" i="1" s="1"/>
  <c r="B131" i="1"/>
  <c r="E130" i="1"/>
  <c r="D130" i="1"/>
  <c r="F130" i="1" s="1"/>
  <c r="B130" i="1"/>
  <c r="E129" i="1"/>
  <c r="D129" i="1"/>
  <c r="F129" i="1" s="1"/>
  <c r="B129" i="1"/>
  <c r="F128" i="1"/>
  <c r="D128" i="1"/>
  <c r="B128" i="1"/>
  <c r="F127" i="1"/>
  <c r="E127" i="1"/>
  <c r="D127" i="1"/>
  <c r="B127" i="1"/>
  <c r="F126" i="1"/>
  <c r="E126" i="1"/>
  <c r="D126" i="1"/>
  <c r="B126" i="1"/>
  <c r="F125" i="1"/>
  <c r="E125" i="1"/>
  <c r="D125" i="1"/>
  <c r="B125" i="1"/>
  <c r="F124" i="1"/>
  <c r="E124" i="1"/>
  <c r="D124" i="1"/>
  <c r="B124" i="1"/>
  <c r="F123" i="1"/>
  <c r="E123" i="1"/>
  <c r="D123" i="1"/>
  <c r="B123" i="1"/>
  <c r="F122" i="1"/>
  <c r="E122" i="1"/>
  <c r="D122" i="1"/>
  <c r="B122" i="1"/>
  <c r="F121" i="1"/>
  <c r="E121" i="1"/>
  <c r="D121" i="1"/>
  <c r="B121" i="1"/>
  <c r="F120" i="1"/>
  <c r="E120" i="1"/>
  <c r="D120" i="1"/>
  <c r="B120" i="1"/>
  <c r="F119" i="1"/>
  <c r="E119" i="1"/>
  <c r="D119" i="1"/>
  <c r="B119" i="1"/>
  <c r="F118" i="1"/>
  <c r="E118" i="1"/>
  <c r="D118" i="1"/>
  <c r="B118" i="1"/>
  <c r="F117" i="1"/>
  <c r="E117" i="1"/>
  <c r="D117" i="1"/>
  <c r="B117" i="1"/>
  <c r="F116" i="1"/>
  <c r="D116" i="1"/>
  <c r="B116" i="1"/>
  <c r="F115" i="1"/>
  <c r="E115" i="1"/>
  <c r="D115" i="1"/>
  <c r="B115" i="1"/>
  <c r="F114" i="1"/>
  <c r="D114" i="1"/>
  <c r="B114" i="1"/>
  <c r="E113" i="1"/>
  <c r="D113" i="1"/>
  <c r="F113" i="1" s="1"/>
  <c r="B113" i="1"/>
  <c r="D112" i="1"/>
  <c r="F112" i="1" s="1"/>
  <c r="B112" i="1"/>
  <c r="E111" i="1"/>
  <c r="D111" i="1"/>
  <c r="F111" i="1" s="1"/>
  <c r="B111" i="1"/>
  <c r="E110" i="1"/>
  <c r="D110" i="1"/>
  <c r="F110" i="1" s="1"/>
  <c r="B110" i="1"/>
  <c r="E109" i="1"/>
  <c r="D109" i="1"/>
  <c r="F109" i="1" s="1"/>
  <c r="B109" i="1"/>
  <c r="E108" i="1"/>
  <c r="D108" i="1"/>
  <c r="F108" i="1" s="1"/>
  <c r="B108" i="1"/>
  <c r="E107" i="1"/>
  <c r="D107" i="1"/>
  <c r="F107" i="1" s="1"/>
  <c r="B107" i="1"/>
  <c r="F106" i="1"/>
  <c r="D106" i="1"/>
  <c r="B106" i="1"/>
  <c r="F105" i="1"/>
  <c r="E105" i="1"/>
  <c r="D105" i="1"/>
  <c r="B105" i="1"/>
  <c r="F104" i="1"/>
  <c r="E104" i="1"/>
  <c r="D104" i="1"/>
  <c r="B104" i="1"/>
  <c r="F103" i="1"/>
  <c r="E103" i="1"/>
  <c r="D103" i="1"/>
  <c r="B103" i="1"/>
  <c r="F102" i="1"/>
  <c r="D102" i="1"/>
  <c r="B102" i="1"/>
  <c r="E101" i="1"/>
  <c r="F101" i="1" s="1"/>
  <c r="D101" i="1"/>
  <c r="B101" i="1"/>
  <c r="E100" i="1"/>
  <c r="F100" i="1" s="1"/>
  <c r="D100" i="1"/>
  <c r="B100" i="1"/>
  <c r="E99" i="1"/>
  <c r="F99" i="1" s="1"/>
  <c r="D99" i="1"/>
  <c r="B99" i="1"/>
  <c r="E98" i="1"/>
  <c r="F98" i="1" s="1"/>
  <c r="D98" i="1"/>
  <c r="B98" i="1"/>
  <c r="E97" i="1"/>
  <c r="F97" i="1" s="1"/>
  <c r="D97" i="1"/>
  <c r="B97" i="1"/>
  <c r="E96" i="1"/>
  <c r="F96" i="1" s="1"/>
  <c r="D96" i="1"/>
  <c r="B96" i="1"/>
  <c r="E95" i="1"/>
  <c r="F95" i="1" s="1"/>
  <c r="D95" i="1"/>
  <c r="B95" i="1"/>
  <c r="E94" i="1"/>
  <c r="F94" i="1" s="1"/>
  <c r="D94" i="1"/>
  <c r="B94" i="1"/>
  <c r="E93" i="1"/>
  <c r="F93" i="1" s="1"/>
  <c r="D93" i="1"/>
  <c r="B93" i="1"/>
  <c r="E92" i="1"/>
  <c r="F92" i="1" s="1"/>
  <c r="D92" i="1"/>
  <c r="B92" i="1"/>
  <c r="E91" i="1"/>
  <c r="F91" i="1" s="1"/>
  <c r="D91" i="1"/>
  <c r="B91" i="1"/>
  <c r="E90" i="1"/>
  <c r="F90" i="1" s="1"/>
  <c r="D90" i="1"/>
  <c r="B90" i="1"/>
  <c r="E89" i="1"/>
  <c r="F89" i="1" s="1"/>
  <c r="D89" i="1"/>
  <c r="B89" i="1"/>
  <c r="E88" i="1"/>
  <c r="F88" i="1" s="1"/>
  <c r="D88" i="1"/>
  <c r="B88" i="1"/>
  <c r="E87" i="1"/>
  <c r="F87" i="1" s="1"/>
  <c r="D87" i="1"/>
  <c r="B87" i="1"/>
  <c r="E86" i="1"/>
  <c r="F86" i="1" s="1"/>
  <c r="D86" i="1"/>
  <c r="B86" i="1"/>
  <c r="E85" i="1"/>
  <c r="F85" i="1" s="1"/>
  <c r="D85" i="1"/>
  <c r="B85" i="1"/>
  <c r="E84" i="1"/>
  <c r="F84" i="1" s="1"/>
  <c r="D84" i="1"/>
  <c r="B84" i="1"/>
  <c r="E83" i="1"/>
  <c r="F83" i="1" s="1"/>
  <c r="D83" i="1"/>
  <c r="B83" i="1"/>
  <c r="E82" i="1"/>
  <c r="F82" i="1" s="1"/>
  <c r="D82" i="1"/>
  <c r="B82" i="1"/>
  <c r="E81" i="1"/>
  <c r="F81" i="1" s="1"/>
  <c r="D81" i="1"/>
  <c r="B81" i="1"/>
  <c r="E80" i="1"/>
  <c r="F80" i="1" s="1"/>
  <c r="D80" i="1"/>
  <c r="B80" i="1"/>
  <c r="E79" i="1"/>
  <c r="F79" i="1" s="1"/>
  <c r="D79" i="1"/>
  <c r="B79" i="1"/>
  <c r="E78" i="1"/>
  <c r="F78" i="1" s="1"/>
  <c r="D78" i="1"/>
  <c r="B78" i="1"/>
  <c r="D77" i="1"/>
  <c r="F77" i="1" s="1"/>
  <c r="B77" i="1"/>
  <c r="E76" i="1"/>
  <c r="D76" i="1"/>
  <c r="B76" i="1"/>
  <c r="E75" i="1"/>
  <c r="D75" i="1"/>
  <c r="B75" i="1"/>
  <c r="E74" i="1"/>
  <c r="F2" i="2" s="1"/>
  <c r="D74" i="1"/>
  <c r="B74" i="1"/>
  <c r="E73" i="1"/>
  <c r="D73" i="1"/>
  <c r="F73" i="1" s="1"/>
  <c r="B73" i="1"/>
  <c r="E72" i="1"/>
  <c r="D72" i="1"/>
  <c r="B72" i="1"/>
  <c r="E71" i="1"/>
  <c r="D71" i="1"/>
  <c r="B71" i="1"/>
  <c r="D70" i="1"/>
  <c r="F70" i="1" s="1"/>
  <c r="B70" i="1"/>
  <c r="E69" i="1"/>
  <c r="D69" i="1"/>
  <c r="F69" i="1" s="1"/>
  <c r="B69" i="1"/>
  <c r="E68" i="1"/>
  <c r="D68" i="1"/>
  <c r="F68" i="1" s="1"/>
  <c r="B68" i="1"/>
  <c r="E67" i="1"/>
  <c r="D67" i="1"/>
  <c r="F67" i="1" s="1"/>
  <c r="B67" i="1"/>
  <c r="E66" i="1"/>
  <c r="D66" i="1"/>
  <c r="F66" i="1" s="1"/>
  <c r="B66" i="1"/>
  <c r="E65" i="1"/>
  <c r="D65" i="1"/>
  <c r="F65" i="1" s="1"/>
  <c r="B65" i="1"/>
  <c r="E64" i="1"/>
  <c r="D64" i="1"/>
  <c r="F64" i="1" s="1"/>
  <c r="B64" i="1"/>
  <c r="E63" i="1"/>
  <c r="D63" i="1"/>
  <c r="B63" i="1"/>
  <c r="E62" i="1"/>
  <c r="D62" i="1"/>
  <c r="H62" i="8" s="1"/>
  <c r="B62" i="1"/>
  <c r="E61" i="1"/>
  <c r="D61" i="1"/>
  <c r="H61" i="8" s="1"/>
  <c r="B61" i="1"/>
  <c r="E60" i="1"/>
  <c r="D60" i="1"/>
  <c r="H60" i="8" s="1"/>
  <c r="B60" i="1"/>
  <c r="E59" i="1"/>
  <c r="D59" i="1"/>
  <c r="H59" i="8" s="1"/>
  <c r="B59" i="1"/>
  <c r="F58" i="1"/>
  <c r="D58" i="1"/>
  <c r="H58" i="8" s="1"/>
  <c r="B58" i="1"/>
  <c r="F57" i="1"/>
  <c r="E57" i="1"/>
  <c r="D57" i="1"/>
  <c r="H57" i="8" s="1"/>
  <c r="B57" i="1"/>
  <c r="F56" i="1"/>
  <c r="E56" i="1"/>
  <c r="D56" i="1"/>
  <c r="H56" i="8" s="1"/>
  <c r="B56" i="1"/>
  <c r="F55" i="1"/>
  <c r="E55" i="1"/>
  <c r="D55" i="1"/>
  <c r="H55" i="8" s="1"/>
  <c r="B55" i="1"/>
  <c r="F54" i="1"/>
  <c r="E54" i="1"/>
  <c r="D54" i="1"/>
  <c r="H54" i="8" s="1"/>
  <c r="B54" i="1"/>
  <c r="F53" i="1"/>
  <c r="E53" i="1"/>
  <c r="D53" i="1"/>
  <c r="H53" i="8" s="1"/>
  <c r="B53" i="1"/>
  <c r="F52" i="1"/>
  <c r="D52" i="1"/>
  <c r="H52" i="8" s="1"/>
  <c r="B52" i="1"/>
  <c r="F51" i="1"/>
  <c r="D51" i="1"/>
  <c r="H51" i="8" s="1"/>
  <c r="B51" i="1"/>
  <c r="E50" i="1"/>
  <c r="D50" i="1"/>
  <c r="B50" i="1"/>
  <c r="D49" i="1"/>
  <c r="F49" i="1" s="1"/>
  <c r="B49" i="1"/>
  <c r="F48" i="1"/>
  <c r="D48" i="1"/>
  <c r="B48" i="1"/>
  <c r="F47" i="1"/>
  <c r="E47" i="1"/>
  <c r="D47" i="1"/>
  <c r="H47" i="8" s="1"/>
  <c r="B47" i="1"/>
  <c r="F46" i="1"/>
  <c r="E46" i="1"/>
  <c r="D46" i="1"/>
  <c r="H46" i="8" s="1"/>
  <c r="B46" i="1"/>
  <c r="F45" i="1"/>
  <c r="D45" i="1"/>
  <c r="H45" i="8" s="1"/>
  <c r="B45" i="1"/>
  <c r="E44" i="1"/>
  <c r="D44" i="1"/>
  <c r="H44" i="8" s="1"/>
  <c r="B44" i="1"/>
  <c r="E40" i="1"/>
  <c r="D40" i="1"/>
  <c r="H43" i="8" s="1"/>
  <c r="B40" i="1"/>
  <c r="E38" i="1"/>
  <c r="D38" i="1"/>
  <c r="B38" i="1"/>
  <c r="D43" i="1"/>
  <c r="H41" i="8" s="1"/>
  <c r="B43" i="1"/>
  <c r="D36" i="1"/>
  <c r="B36" i="1"/>
  <c r="F39" i="1"/>
  <c r="E39" i="1"/>
  <c r="D39" i="1"/>
  <c r="H39" i="8" s="1"/>
  <c r="B39" i="1"/>
  <c r="F35" i="1"/>
  <c r="E35" i="1"/>
  <c r="D35" i="1"/>
  <c r="B35" i="1"/>
  <c r="F37" i="1"/>
  <c r="D37" i="1"/>
  <c r="B37" i="1"/>
  <c r="D201" i="1"/>
  <c r="H36" i="8" s="1"/>
  <c r="B201" i="1"/>
  <c r="F31" i="1"/>
  <c r="D31" i="1"/>
  <c r="H35" i="8" s="1"/>
  <c r="B31" i="1"/>
  <c r="E34" i="1"/>
  <c r="D34" i="1"/>
  <c r="B34" i="1"/>
  <c r="D33" i="1"/>
  <c r="B33" i="1"/>
  <c r="E32" i="1"/>
  <c r="D32" i="1"/>
  <c r="H32" i="8" s="1"/>
  <c r="B32" i="1"/>
  <c r="E27" i="1"/>
  <c r="D27" i="1"/>
  <c r="H31" i="8" s="1"/>
  <c r="B27" i="1"/>
  <c r="E30" i="1"/>
  <c r="D30" i="1"/>
  <c r="H30" i="8" s="1"/>
  <c r="B30" i="1"/>
  <c r="F29" i="1"/>
  <c r="D29" i="1"/>
  <c r="H29" i="8" s="1"/>
  <c r="B29" i="1"/>
  <c r="F28" i="1"/>
  <c r="E28" i="1"/>
  <c r="D28" i="1"/>
  <c r="B28" i="1"/>
  <c r="F26" i="1"/>
  <c r="E26" i="1"/>
  <c r="D26" i="1"/>
  <c r="B26" i="1"/>
  <c r="F23" i="1"/>
  <c r="E23" i="1"/>
  <c r="B23" i="1"/>
  <c r="F25" i="1"/>
  <c r="E25" i="1"/>
  <c r="D25" i="1"/>
  <c r="B25" i="1"/>
  <c r="F24" i="1"/>
  <c r="E24" i="1"/>
  <c r="D24" i="1"/>
  <c r="B24" i="1"/>
  <c r="F41" i="1"/>
  <c r="D41" i="1"/>
  <c r="B41" i="1"/>
  <c r="F22" i="1"/>
  <c r="E22" i="1"/>
  <c r="D22" i="1"/>
  <c r="B22" i="1"/>
  <c r="F21" i="1"/>
  <c r="E21" i="1"/>
  <c r="D21" i="1"/>
  <c r="B21" i="1"/>
  <c r="F20" i="1"/>
  <c r="E20" i="1"/>
  <c r="D20" i="1"/>
  <c r="B20" i="1"/>
  <c r="F19" i="1"/>
  <c r="D19" i="1"/>
  <c r="B19" i="1"/>
  <c r="E14" i="1"/>
  <c r="D15" i="2" s="1"/>
  <c r="E15" i="2" s="1"/>
  <c r="E13" i="1"/>
  <c r="D14" i="2" s="1"/>
  <c r="E14" i="2" s="1"/>
  <c r="E12" i="1"/>
  <c r="D13" i="2" s="1"/>
  <c r="E13" i="2" s="1"/>
  <c r="E11" i="1"/>
  <c r="D12" i="2" s="1"/>
  <c r="E12" i="2" s="1"/>
  <c r="E10" i="1"/>
  <c r="D11" i="2" s="1"/>
  <c r="E11" i="2" s="1"/>
  <c r="E9" i="1"/>
  <c r="D10" i="2" s="1"/>
  <c r="E10" i="2" s="1"/>
  <c r="E8" i="1"/>
  <c r="D9" i="2" s="1"/>
  <c r="E9" i="2" s="1"/>
  <c r="E7" i="1"/>
  <c r="D8" i="2" s="1"/>
  <c r="E8" i="2" s="1"/>
  <c r="E6" i="1"/>
  <c r="D7" i="2" s="1"/>
  <c r="E7" i="2" s="1"/>
  <c r="E5" i="1"/>
  <c r="D6" i="2" s="1"/>
  <c r="E6" i="2" s="1"/>
  <c r="G6" i="2" s="1"/>
  <c r="E4" i="1"/>
  <c r="D4" i="2" s="1"/>
  <c r="E4" i="2" s="1"/>
  <c r="E3" i="1"/>
  <c r="D3" i="2" s="1"/>
  <c r="E3" i="2" s="1"/>
  <c r="E2" i="1"/>
  <c r="D2" i="2" s="1"/>
  <c r="F13" i="1" l="1"/>
  <c r="H19" i="8"/>
  <c r="H19" i="7"/>
  <c r="D341" i="1"/>
  <c r="E341" i="1"/>
  <c r="F14" i="2"/>
  <c r="F15" i="2"/>
  <c r="G15" i="2" s="1"/>
  <c r="F13" i="2"/>
  <c r="G13" i="2" s="1"/>
  <c r="H42" i="8"/>
  <c r="F42" i="3"/>
  <c r="H50" i="8"/>
  <c r="F50" i="1"/>
  <c r="F8" i="1" s="1"/>
  <c r="H63" i="8"/>
  <c r="F63" i="1"/>
  <c r="F3" i="2"/>
  <c r="G3" i="2" s="1"/>
  <c r="F74" i="1"/>
  <c r="F2" i="1" s="1"/>
  <c r="F182" i="1"/>
  <c r="F14" i="1" s="1"/>
  <c r="H33" i="8"/>
  <c r="F33" i="1"/>
  <c r="E2" i="2"/>
  <c r="D16" i="2"/>
  <c r="E15" i="1"/>
  <c r="F10" i="2"/>
  <c r="F201" i="1"/>
  <c r="F43" i="1"/>
  <c r="F38" i="1"/>
  <c r="F40" i="1"/>
  <c r="F44" i="1"/>
  <c r="F10" i="1" s="1"/>
  <c r="F59" i="1"/>
  <c r="F60" i="1"/>
  <c r="F61" i="1"/>
  <c r="F62" i="1"/>
  <c r="F72" i="1"/>
  <c r="F3" i="1" s="1"/>
  <c r="F76" i="1"/>
  <c r="F180" i="1"/>
  <c r="G10" i="2"/>
  <c r="G14" i="2"/>
  <c r="H20" i="8"/>
  <c r="H20" i="7"/>
  <c r="H21" i="8"/>
  <c r="H21" i="7"/>
  <c r="H22" i="8"/>
  <c r="H22" i="7"/>
  <c r="H23" i="8"/>
  <c r="H23" i="7"/>
  <c r="F11" i="2"/>
  <c r="G11" i="2" s="1"/>
  <c r="F9" i="2"/>
  <c r="G9" i="2" s="1"/>
  <c r="F7" i="2"/>
  <c r="G7" i="2" s="1"/>
  <c r="F30" i="1"/>
  <c r="F9" i="1" s="1"/>
  <c r="F27" i="1"/>
  <c r="F32" i="1"/>
  <c r="H34" i="8"/>
  <c r="F34" i="1"/>
  <c r="H38" i="8"/>
  <c r="F38" i="3"/>
  <c r="H40" i="8"/>
  <c r="F36" i="1"/>
  <c r="F11" i="1"/>
  <c r="F71" i="1"/>
  <c r="F4" i="1" s="1"/>
  <c r="F75" i="1"/>
  <c r="F179" i="1"/>
  <c r="F333" i="1"/>
  <c r="F5" i="1" s="1"/>
  <c r="E131" i="5"/>
  <c r="H24" i="8"/>
  <c r="H24" i="7"/>
  <c r="H25" i="8"/>
  <c r="H25" i="7"/>
  <c r="H26" i="8"/>
  <c r="H26" i="7"/>
  <c r="H27" i="8"/>
  <c r="H27" i="7"/>
  <c r="H28" i="8"/>
  <c r="H28" i="7"/>
  <c r="H37" i="8"/>
  <c r="F37" i="3"/>
  <c r="F4" i="2"/>
  <c r="G4" i="2" s="1"/>
  <c r="F8" i="2"/>
  <c r="G8" i="2" s="1"/>
  <c r="F12" i="2"/>
  <c r="G12" i="2" s="1"/>
  <c r="D58" i="3"/>
  <c r="F58" i="3" s="1"/>
  <c r="F4" i="3"/>
  <c r="F33" i="3"/>
  <c r="F32" i="3"/>
  <c r="F36" i="3"/>
  <c r="F8" i="5"/>
  <c r="F19" i="5" s="1"/>
  <c r="F23" i="5"/>
  <c r="F24" i="5"/>
  <c r="E4" i="5" s="1"/>
  <c r="F12" i="1" l="1"/>
  <c r="F7" i="1"/>
  <c r="F16" i="2"/>
  <c r="E16" i="2"/>
  <c r="G2" i="2"/>
  <c r="G16" i="2" s="1"/>
  <c r="E3" i="5"/>
  <c r="F131" i="5" a="1"/>
  <c r="F131" i="5" s="1"/>
  <c r="F6" i="1"/>
  <c r="F341" i="1" a="1"/>
  <c r="F341" i="1" s="1"/>
  <c r="F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Ozodbek Napasov</author>
  </authors>
  <commentList>
    <comment ref="E2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Ozodbek Napasov:
+1.387.500</t>
        </r>
      </text>
    </comment>
    <comment ref="E14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Ozodbek Napasov:
Q.T.T ga tushgan</t>
        </r>
      </text>
    </comment>
    <comment ref="E17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Ozodbek Napasov:
Yakkabog' ga 1 625 000
</t>
        </r>
      </text>
    </comment>
    <comment ref="E3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Ozodbek Napasov:
Qarshiga o'tib ketgan (ta'lim kredeti)</t>
        </r>
      </text>
    </comment>
    <comment ref="E32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Ozodbek Napasov:
100%</t>
        </r>
      </text>
    </comment>
  </commentList>
</comments>
</file>

<file path=xl/sharedStrings.xml><?xml version="1.0" encoding="utf-8"?>
<sst xmlns="http://schemas.openxmlformats.org/spreadsheetml/2006/main" count="1098" uniqueCount="616">
  <si>
    <t>Guruh rahbari</t>
  </si>
  <si>
    <t>Guruh</t>
  </si>
  <si>
    <t>Talabalar soni</t>
  </si>
  <si>
    <t>Qarzdorligi</t>
  </si>
  <si>
    <t>Rahmatova.Sh</t>
  </si>
  <si>
    <t>24-11</t>
  </si>
  <si>
    <t>Botirova.G</t>
  </si>
  <si>
    <t>24-12</t>
  </si>
  <si>
    <t>Elmurodova.N</t>
  </si>
  <si>
    <t>24-13</t>
  </si>
  <si>
    <t>Asraliyev.A</t>
  </si>
  <si>
    <t>24-15</t>
  </si>
  <si>
    <t>Yuldashev.O</t>
  </si>
  <si>
    <t>24-16</t>
  </si>
  <si>
    <t>Xidirova.N</t>
  </si>
  <si>
    <t>25-16</t>
  </si>
  <si>
    <t>Meyliyev.B</t>
  </si>
  <si>
    <t>25-17</t>
  </si>
  <si>
    <t>Eshnayev.B</t>
  </si>
  <si>
    <t>25-18</t>
  </si>
  <si>
    <t>Shukurova.G</t>
  </si>
  <si>
    <t>25-19</t>
  </si>
  <si>
    <t>Maxamadiyev.L</t>
  </si>
  <si>
    <t>25-20</t>
  </si>
  <si>
    <t>25-21</t>
  </si>
  <si>
    <t>25-22</t>
  </si>
  <si>
    <t>Quldosheva.K</t>
  </si>
  <si>
    <t>25-23</t>
  </si>
  <si>
    <t>Jami</t>
  </si>
  <si>
    <t>Yangilangan sanasi:</t>
  </si>
  <si>
    <t>02.10.2026</t>
  </si>
  <si>
    <t>GURUHI</t>
  </si>
  <si>
    <t>№</t>
  </si>
  <si>
    <t>Familiiyasi Ismi va Sharfi</t>
  </si>
  <si>
    <t>Shu vaqtgacha bo'lishi kerak bo'lgan to'lov</t>
  </si>
  <si>
    <t>Shu vaqtgacha qarzi</t>
  </si>
  <si>
    <t>Raxmonova Mahbuba Tolib qizi</t>
  </si>
  <si>
    <t>Ochilova Shahlo Nematullayevna</t>
  </si>
  <si>
    <t>Sanayeva Iroda Kuchkor qizi</t>
  </si>
  <si>
    <t xml:space="preserve">Sunnatillayeva Eʼzoza </t>
  </si>
  <si>
    <t>Sattorova Sevinch Otabek qizi</t>
  </si>
  <si>
    <t>Jamshidova Sug'diyona Jamshir qizi</t>
  </si>
  <si>
    <t>Rahmonov Ravshan Rafiuqovich</t>
  </si>
  <si>
    <t>Ergasheva Gulnoza Jamol qizi</t>
  </si>
  <si>
    <t>Muxammadiyeva Xurshida Ismatovna</t>
  </si>
  <si>
    <t>O'ktamova Sarvinoz Obid qizi</t>
  </si>
  <si>
    <t>Rashidova Shahzoda Suyun qizi</t>
  </si>
  <si>
    <t>Usmonova Sabrina Akrom qizi</t>
  </si>
  <si>
    <t>Sharifova Nozima Husanova</t>
  </si>
  <si>
    <t>Yarasheva Ruxshonaoy Uchqun qizi</t>
  </si>
  <si>
    <t>To'xliyeva Nilufar Baxtiyor qizi</t>
  </si>
  <si>
    <t>Rajabova Gulnora Amirovna</t>
  </si>
  <si>
    <t>O'roqova Nilufar Nasrullo qizi</t>
  </si>
  <si>
    <t>Qarshiyeva Kamola Rustam qizi</t>
  </si>
  <si>
    <t>Ibodova Parvina Abdurashid qizi</t>
  </si>
  <si>
    <t>Yunusova Qurbonoy Kamol qizi</t>
  </si>
  <si>
    <t>Muxammedova E'zoza Sodiq qizi</t>
  </si>
  <si>
    <t>Allayorova Diyora Abdusalom qizi</t>
  </si>
  <si>
    <t>Raufova Ziyoda Abduvoid qizi</t>
  </si>
  <si>
    <t>Meliqulova Shalola Amonovna</t>
  </si>
  <si>
    <t>Oqmirzayeva Jumagul Abdulla qizi</t>
  </si>
  <si>
    <t>Xolboboyeva Jasmina Nurillo qizi</t>
  </si>
  <si>
    <t>Axatova Sevinch Bunyod qizi</t>
  </si>
  <si>
    <t>Maxmudova Nigina Maqsudjon qizi</t>
  </si>
  <si>
    <t>Bobomurodova Ozoda Otabek qizi</t>
  </si>
  <si>
    <t>Usmonova Diyora Oybek qizi</t>
  </si>
  <si>
    <t>Boymurodova Marjona Fozliddin qizi</t>
  </si>
  <si>
    <t>Abdumajidova Jasmina Xayrullo qizi</t>
  </si>
  <si>
    <t>Abdurahmonova Zebo Tolibovna</t>
  </si>
  <si>
    <t>Aliboyeva Malohat Baxtiyorovna</t>
  </si>
  <si>
    <t>Axrorova Gulshoda Tohir qizi</t>
  </si>
  <si>
    <t>Bahodirova Ruxshona Alisher qizi</t>
  </si>
  <si>
    <t>Bekmurodova Farangiz Shuxrat qizi</t>
  </si>
  <si>
    <t>Berdiqobulova Maftuna Sherzod qizi</t>
  </si>
  <si>
    <t>Bo'ronova Maxfirat Abdig'ani qizi</t>
  </si>
  <si>
    <t>Boyeva Muxlisa Qurbonali qizi</t>
  </si>
  <si>
    <t>Bozorova Marjona Sheraliyevna</t>
  </si>
  <si>
    <t>Buriyeva Sitora Ibodulla qizi</t>
  </si>
  <si>
    <t>Daminova Nigina</t>
  </si>
  <si>
    <t>Ergasheva Feruzaxon Asror qizi</t>
  </si>
  <si>
    <t>Eshmurodova Dinora Tolmas qizi</t>
  </si>
  <si>
    <t>Eshmurodova Gulsevar Ibragim qizi</t>
  </si>
  <si>
    <t xml:space="preserve">Farhodova Farangiz Nizomiddin qizi
</t>
  </si>
  <si>
    <t>G'aybullayeva Mavluda</t>
  </si>
  <si>
    <t>Hamidova E'zoza</t>
  </si>
  <si>
    <t>Hasanova Madina Sherali qizi</t>
  </si>
  <si>
    <t>Fayzullayeva Dilnavoz Jahongir qizi</t>
  </si>
  <si>
    <t>Hayitova Madina G'ayrat qizi</t>
  </si>
  <si>
    <t>Hazratova Gulhayo Sirojidin qizi</t>
  </si>
  <si>
    <t>Husanova Rayhona Husan qizi</t>
  </si>
  <si>
    <t>Isomiddinova Nilufar Nuriddin qizi</t>
  </si>
  <si>
    <t>Isomova Durdona Aktam qizi</t>
  </si>
  <si>
    <t>Jabborova Laylo Mahmudjon qizi</t>
  </si>
  <si>
    <t>Jo'raqulova Madina Siroj qizi</t>
  </si>
  <si>
    <t>Jurayeva Munisa Abduvohid qizi</t>
  </si>
  <si>
    <t>Lutfullayeva Nargiza Zuvaydullo qizi</t>
  </si>
  <si>
    <t>Mamadiyeva Sevinch Tolmas qizi</t>
  </si>
  <si>
    <t>Mamazova Marjona Shernazar qizi</t>
  </si>
  <si>
    <t>Mavlonova Mastura Gulmurot qizi</t>
  </si>
  <si>
    <t>Mirsayidova Mohidil Jamshid qizi</t>
  </si>
  <si>
    <t>Mirzayeva Aslzoda Abduhalim qizi</t>
  </si>
  <si>
    <t>Murodova Munisa Normingli qizi</t>
  </si>
  <si>
    <t>Murodullayeva Mehriniso G'ayrat qizi</t>
  </si>
  <si>
    <t xml:space="preserve">Murodullayeva Shohona Odilovna </t>
  </si>
  <si>
    <t>Nabiyeva Zebiniso Abdurhmonovna</t>
  </si>
  <si>
    <t>Nasimova Rayhon Abdirauf qizi</t>
  </si>
  <si>
    <t>Muhsinova Shodiyona Baxriddin qizi</t>
  </si>
  <si>
    <t>Nazirova Sarvara Xayitmurod qizi</t>
  </si>
  <si>
    <t>Nimatova Nigina Qobiljon qizi</t>
  </si>
  <si>
    <t>Niyozov Sayfullo Jo'raqulzoda</t>
  </si>
  <si>
    <t>Norboboyeva Laylo Rustam qizi</t>
  </si>
  <si>
    <t>Normahmatova Dilafro'z Adham qizi</t>
  </si>
  <si>
    <t>Norova Zarina Tohir qizi</t>
  </si>
  <si>
    <t>Nosirova Shahlo Akmal qizi</t>
  </si>
  <si>
    <t>Ochilova E'zoza Yoquv qizi</t>
  </si>
  <si>
    <t>Ochilova Farangiz</t>
  </si>
  <si>
    <t>Nazarova Gulasal Poyan qizi</t>
  </si>
  <si>
    <t>Ochilova Xolida Abdimurod qizi</t>
  </si>
  <si>
    <t>Orolova Hursanoy Abdullo qizi</t>
  </si>
  <si>
    <t>Ortiqov Nodir Ziyadulla o'g'li</t>
  </si>
  <si>
    <t>Pardamurdova Ruxshona Qaxramon qizi</t>
  </si>
  <si>
    <t>Pardayeva Sevinch Komil qizi</t>
  </si>
  <si>
    <t>Parmonova Ruxshona Asliddin qizi</t>
  </si>
  <si>
    <t>Qahhorova Musfira Uktamovna</t>
  </si>
  <si>
    <t>Qo'chqorova Nozima Husan qizi</t>
  </si>
  <si>
    <t>Qo'ldosheva Dinora Aktam qizi</t>
  </si>
  <si>
    <t xml:space="preserve">Qodirova O'g'iloy </t>
  </si>
  <si>
    <t>Qulmamatova Hosila Erkin qizi</t>
  </si>
  <si>
    <t>Qurbonova Gulsanam Abdujamol qizi</t>
  </si>
  <si>
    <t>Qurbonova Holida Boynazar qizi</t>
  </si>
  <si>
    <t>Rahmonova Shahnoza Husniddin qizi</t>
  </si>
  <si>
    <t>Raxmonqulova Zulfiya Akromjon qizi</t>
  </si>
  <si>
    <t>Ro'ziqulova Nurhayot</t>
  </si>
  <si>
    <t>Rustamova Madinabonu</t>
  </si>
  <si>
    <t>Sadriddinova Difluza Mo'min qizi</t>
  </si>
  <si>
    <t>Sadullayeva Bahora O'ktam qizi</t>
  </si>
  <si>
    <t>Salimova Ruxshona Adxam qizi</t>
  </si>
  <si>
    <t>Salimova Shahzoda Naim qizi</t>
  </si>
  <si>
    <t>Samiyeva Musallam Sirojiddin qizi</t>
  </si>
  <si>
    <t>Sattarova Gulasalbonu Sobir qizi</t>
  </si>
  <si>
    <t>Sattorova Intizor Odil qizi</t>
  </si>
  <si>
    <t>Sayidova Farangiz Bahtiyor qizi</t>
  </si>
  <si>
    <t>Sayidqulova Zebo Zoyir qizi</t>
  </si>
  <si>
    <t>Shodiyeva Gulasal</t>
  </si>
  <si>
    <t>Shoimova Laziza Shavkat qizi</t>
  </si>
  <si>
    <t>Shukurillayeva Dilnura Jasurbek qizi</t>
  </si>
  <si>
    <t>Shukurova Xurshida Tabullo qizi</t>
  </si>
  <si>
    <t>Sultonova Gulizar Rovshan qizi</t>
  </si>
  <si>
    <t>Temirova Shaxnoza G'ulomjon qizi</t>
  </si>
  <si>
    <t>Tosheva Latofat Saloyiddinovna</t>
  </si>
  <si>
    <t>Toshmurodova Komila Nu'mon qizi</t>
  </si>
  <si>
    <t>Toshpulatova Farzona</t>
  </si>
  <si>
    <t>To'ychiyeva Gulsevar Xurshed qizi</t>
  </si>
  <si>
    <t>Turdiqulova Dilfuza Sarvar qizi</t>
  </si>
  <si>
    <t>Turopova Mahzuna Abdurasul qizi</t>
  </si>
  <si>
    <t>Umrzoqova Asal Anvarjon qizi</t>
  </si>
  <si>
    <t>Valiyeva Nilufar Abdirashit qizi</t>
  </si>
  <si>
    <t>Xayrollayeva Ozoda Toshbova qizi</t>
  </si>
  <si>
    <t>Xudoykulova Munisa Muzurovna</t>
  </si>
  <si>
    <t>Xudoyqulova Sadorat Muzurovna</t>
  </si>
  <si>
    <t>Xurramova Asila Ilhomovna</t>
  </si>
  <si>
    <t>Xushvaqtova Muxlisa Olim qizi</t>
  </si>
  <si>
    <t>Niyozova Bibixonim Alisherovna</t>
  </si>
  <si>
    <t>Zarqulova Komila Mirzayevna</t>
  </si>
  <si>
    <t>Mamadiyeva Afruza Muxiddin qizi</t>
  </si>
  <si>
    <t>Abdullayeva Charos Kamoliddin qizi</t>
  </si>
  <si>
    <t>Botirova Jasmina Ismoil qizi</t>
  </si>
  <si>
    <t>Davlatova Muxlisa</t>
  </si>
  <si>
    <t>Ibragimova Nilufar Ilhom qizi</t>
  </si>
  <si>
    <t>Haydarova Rayhona Anvar qizi</t>
  </si>
  <si>
    <t>Rasulova Madina Erkin qizi</t>
  </si>
  <si>
    <t>Tillayeva Dilfuza Komil qizi</t>
  </si>
  <si>
    <t>Tojiddinov Idrisbek Ozod o'g'li</t>
  </si>
  <si>
    <t>Maxmudova Lobar Vali qizi</t>
  </si>
  <si>
    <t>Jo'raqulova Fotima Murtazo qizi</t>
  </si>
  <si>
    <t>Raxmonova Xosiyat Husniddin qizi</t>
  </si>
  <si>
    <t>Boboqulova Zahro Nizomiddin qizi</t>
  </si>
  <si>
    <t xml:space="preserve">Eshmurodova Zarina </t>
  </si>
  <si>
    <t>Habibullayev Asilbek Hasan o'g'li</t>
  </si>
  <si>
    <t>Nimatova Asila Akbar qizi</t>
  </si>
  <si>
    <t>Samiyeva Mahzuna Abdukarim qizi</t>
  </si>
  <si>
    <t>Sharifqulova Farxunda Azizovna</t>
  </si>
  <si>
    <t>Xudoyberdiyeva Fotima Nasim qizi</t>
  </si>
  <si>
    <t>Suyunova Zahro Aminjon qizi</t>
  </si>
  <si>
    <t>Xolmamatova Nodira Bekmurod qizi</t>
  </si>
  <si>
    <t>Qodirova Sabrina Abduqodir qizi</t>
  </si>
  <si>
    <t>Ravshanova Farangiz Xurshid qizi</t>
  </si>
  <si>
    <t>To'rayeva Orzigul Faxriddin qizi</t>
  </si>
  <si>
    <t>Abdujg'aniyeva Aziza Shuxratjon qizi</t>
  </si>
  <si>
    <t>Egamberdiyeva Sevara Sherzod qizi</t>
  </si>
  <si>
    <t>Karamatova Umida Ulug'bek qizi</t>
  </si>
  <si>
    <t>Jabborova Marjona</t>
  </si>
  <si>
    <t>Jo'raqulov Og'abek Azamatovich</t>
  </si>
  <si>
    <t>Payzullayeva Jasmina Zafarjon qizi</t>
  </si>
  <si>
    <t>Murodullayeva Gulasal O'tkir qizi</t>
  </si>
  <si>
    <t>Muysinova Mahliyo Ravshan qizi</t>
  </si>
  <si>
    <t>Shodiyeva Gulzoda Narzullayevna</t>
  </si>
  <si>
    <t>Mamasodiqova Durdona Shuxrat qizi</t>
  </si>
  <si>
    <t xml:space="preserve">Ochilova Gulnora </t>
  </si>
  <si>
    <t>Saidova Nozima Sanjar qizi</t>
  </si>
  <si>
    <t>Umirova Sevara Avlayor qizi</t>
  </si>
  <si>
    <t>Raxmatova Muxlisa Faxriddin qizi</t>
  </si>
  <si>
    <t>Jaxongirova Robiyaxon Jamshid qizi</t>
  </si>
  <si>
    <t>Ibragimova Odina Azamat qizi</t>
  </si>
  <si>
    <t>Nosirova Umida Zafariddin qizi</t>
  </si>
  <si>
    <t>Jumaboyeva Sevinch Umid qizi</t>
  </si>
  <si>
    <t>Normurodova Maftuna Dilshod qizi</t>
  </si>
  <si>
    <t>Shamsiddinova Maftuna Xolmurodovna</t>
  </si>
  <si>
    <t>Radjabova Oysha Burxonovna</t>
  </si>
  <si>
    <t>Shovxiddinova Latofat Ruzimurod qizi</t>
  </si>
  <si>
    <t>Axmadova Jasmina Lazizovna</t>
  </si>
  <si>
    <t>Navro'zova Ro'zigul O'lmas qizi</t>
  </si>
  <si>
    <t>Mirzoyeva Nazira Suvon qizi</t>
  </si>
  <si>
    <t>Ilhomova Gulasal Nodir qizi</t>
  </si>
  <si>
    <t>Umbarova Ruxshona Sherzod qizi</t>
  </si>
  <si>
    <t>Burhonova Iroda Sherzod qizi</t>
  </si>
  <si>
    <t>Olimova Durdona Uktam qizi</t>
  </si>
  <si>
    <t>Abdullayeva Dildora A'zam qizi</t>
  </si>
  <si>
    <t>Ahmadova Sevinch Lazizjon qizi</t>
  </si>
  <si>
    <t>Ibroximova Gulasal</t>
  </si>
  <si>
    <t>Yusupova Shahnoza Akram qizi</t>
  </si>
  <si>
    <t>Ziyodullayeva Munisa Sherzod qizi</t>
  </si>
  <si>
    <t>To'raqulova Elnora Erkin qizi</t>
  </si>
  <si>
    <t>Abdujalolova Marjona Baxtiyor qizi</t>
  </si>
  <si>
    <t>Qiyomiddinov Odilbek Ulug'bek o'g'li</t>
  </si>
  <si>
    <t>Ibodullayeva Madina Bahtiyor qizi</t>
  </si>
  <si>
    <t>Najmiddinova Dilnura Otabekovna</t>
  </si>
  <si>
    <t>Fayzullayeva Nasiba Murodullayevna</t>
  </si>
  <si>
    <t>Usmonqulova Mohichehra Xushvaqt qizi</t>
  </si>
  <si>
    <t>Amirova Intizoroy Xasan qizi</t>
  </si>
  <si>
    <t>Ergasheva Mohinur Akbar qizi</t>
  </si>
  <si>
    <t>Omonova Shaxnoza Nuriddin qizi</t>
  </si>
  <si>
    <t>Ovloqulova Feruza Foziljonovna</t>
  </si>
  <si>
    <t>Ikromova Asila Ikrom qizi</t>
  </si>
  <si>
    <t>Xayrullayeva Sevinch Tohirovna</t>
  </si>
  <si>
    <t>Boybutayeva Hosila Shuxrat qizi</t>
  </si>
  <si>
    <t>Xolbutayeva Husniya Mahmasodiq qizi</t>
  </si>
  <si>
    <t>Abdualimova Vazira Ramazonovna</t>
  </si>
  <si>
    <t>Abdullayeva Jasmina Xolbotir qizi</t>
  </si>
  <si>
    <t>Ahadqulova O'g'iloy Saidjon qizi</t>
  </si>
  <si>
    <t>Aliyeva Shahro'za Nishon qizi</t>
  </si>
  <si>
    <t>Arziqulova Zahro Azamat qizi</t>
  </si>
  <si>
    <t>Avloqulova Dilobar Azamat qizi</t>
  </si>
  <si>
    <t>Boboqulova Hilola Faxriddin qizi</t>
  </si>
  <si>
    <t>Djalolova Muslima Hamzaxon qizi</t>
  </si>
  <si>
    <t>Ergasheva Dilobar O'tkir qizi</t>
  </si>
  <si>
    <t>Eshmurodova Gulsanam Rashid qizi</t>
  </si>
  <si>
    <t>Eshpo'latova Dinora Sobir qizi</t>
  </si>
  <si>
    <t>Kamolova Marjona Sherali qizi</t>
  </si>
  <si>
    <t>Karimova Marjona Nosir qizi</t>
  </si>
  <si>
    <t>Keldiyorova Laylo Kamol qizi</t>
  </si>
  <si>
    <t>Mahmadiyorova Ruhshona Fahriddin qizi</t>
  </si>
  <si>
    <t>Mavlonova Charos Oybek qizi</t>
  </si>
  <si>
    <t>Muratova Barno Jobur qizi</t>
  </si>
  <si>
    <t>Nabiyeva Zebiniso Soyibjon qizi</t>
  </si>
  <si>
    <t>Nigmatova Feruza Asliddin qizi</t>
  </si>
  <si>
    <t>Nigmatova Nazmina</t>
  </si>
  <si>
    <t xml:space="preserve">Pardayeva Shahzoda </t>
  </si>
  <si>
    <t>Qurbonova Umida Quziyevna</t>
  </si>
  <si>
    <t>Raxmatullayev Laziz Luqmon o'g'li</t>
  </si>
  <si>
    <t>Safarova Shaxzoda Bahodir qizi</t>
  </si>
  <si>
    <t>Shamsiddinova Fotima Ramziddin qizi</t>
  </si>
  <si>
    <t>Sharipova Pokiza Otabek qizi</t>
  </si>
  <si>
    <t>Turayeva Malika Abdulaziz qizi</t>
  </si>
  <si>
    <t>Turdiqulova Sevinch Sadriddin qizi</t>
  </si>
  <si>
    <t>Ubaydullayeva Muxlisa Zubaydullo qizi</t>
  </si>
  <si>
    <t>Uralova Zilola Shavkat qizi</t>
  </si>
  <si>
    <t>Xayrullayeva Asolat Bahriddin qizi</t>
  </si>
  <si>
    <t>Xudoyorova Shahzoda Shuxrat qizi</t>
  </si>
  <si>
    <t>Yo'ldosheva Diyora Sherzod qizi</t>
  </si>
  <si>
    <t>Yusupova Dilnura Nuriddin qizi</t>
  </si>
  <si>
    <t>Yusupova Hosila Akmal qizi</t>
  </si>
  <si>
    <t>Abdiraimova Shahzoda Dilshod qizi</t>
  </si>
  <si>
    <t>Hayitova Xolida Asad qizi</t>
  </si>
  <si>
    <t>Shog'dorova Marjona Eshtemir qizi</t>
  </si>
  <si>
    <t>Zaripova Setora Zuxriddin qizi</t>
  </si>
  <si>
    <t>Nosirova Lola Begzot qizi</t>
  </si>
  <si>
    <t>Esonmurodova Nurgul Nuriddin qizi</t>
  </si>
  <si>
    <t>Qurbonaliyeva Nargiza Qahramon qizi</t>
  </si>
  <si>
    <t>Shodiyev Ikromjon Eshpo'latovich</t>
  </si>
  <si>
    <t>Meyliboyeva Xadicha Dilmurot qizi</t>
  </si>
  <si>
    <t>Bekmirzayeva Shahrizoda Zafar qizi</t>
  </si>
  <si>
    <t>Jalilova Sabina Jahongir qizi</t>
  </si>
  <si>
    <t>Ziyodullayeva Muxlisa Shuxrat qizi</t>
  </si>
  <si>
    <t>Jo'rayeva Farangiz Zioyodulla qizi</t>
  </si>
  <si>
    <t>Sharipova Sevinch O'tkir qizi</t>
  </si>
  <si>
    <t>Muradova Oygul G'ulamovna</t>
  </si>
  <si>
    <t>Salomova Jasmina Azamat qizi</t>
  </si>
  <si>
    <t>Rahmatova Charos Alisher qizi</t>
  </si>
  <si>
    <t>Muxtorova Dilobar Alisher qizi</t>
  </si>
  <si>
    <t>Sayfullayeva Ruxshona Shavkat qizi</t>
  </si>
  <si>
    <t>Usmonova Asaloy G'ofur qizi</t>
  </si>
  <si>
    <t>Isamova Mohimbegim Mansur qizi</t>
  </si>
  <si>
    <t>Raxmatova Shahlo Xolbobo qizi</t>
  </si>
  <si>
    <t>Shoymardonova Hilola Tohir qizi</t>
  </si>
  <si>
    <t>Norqobilova Zarnigor Ikrom qizi</t>
  </si>
  <si>
    <t>Shodiyeva Nilufar Omonovna</t>
  </si>
  <si>
    <t>Homidova Asilaxon G'ulomjon qizi</t>
  </si>
  <si>
    <t>Suvonova Sevinch Orif qizi</t>
  </si>
  <si>
    <t>Abdurashidova Maftuna Asadulla qizi</t>
  </si>
  <si>
    <t>Pulatova Zuhra Narzullo qizi</t>
  </si>
  <si>
    <t>Samadova Dildora Ismoil qizi</t>
  </si>
  <si>
    <t>Quysinova Sumbula G'ayrat qizi</t>
  </si>
  <si>
    <t>Begaliyeva Shodiyona Begali qizi</t>
  </si>
  <si>
    <t>Jurayeva Nozima Nurmamat qizi</t>
  </si>
  <si>
    <t>Nomozova Charos Shog'dor qizi</t>
  </si>
  <si>
    <t>Odilova Marjona Bahodir qizi</t>
  </si>
  <si>
    <t>Salomova Ozoda Raxim qizi</t>
  </si>
  <si>
    <t xml:space="preserve">Sheg'oziyeva Dilyora Zikrillo qizi </t>
  </si>
  <si>
    <t>Xoliqulova Nozima Qalandar qizi</t>
  </si>
  <si>
    <t>Egamberdiyeva Shahlo Dagar qizi</t>
  </si>
  <si>
    <t>Iskandarova Lobar Tura qizi</t>
  </si>
  <si>
    <t>Boymurodova Shahnoza Shuxrat qizi</t>
  </si>
  <si>
    <t>Ergasheva Shodiyona Yo'doshevna</t>
  </si>
  <si>
    <t>Jumayeva Navruza Imomnazar qizi</t>
  </si>
  <si>
    <t xml:space="preserve">Yorboboyeva Shaxzoda Zokirovna </t>
  </si>
  <si>
    <t>Turmanova Zulfira Abduvoyid qizi</t>
  </si>
  <si>
    <t>Tojiyev Munira Boborahmad qizi</t>
  </si>
  <si>
    <t xml:space="preserve">Quddusova Marjona Rahimqulovna </t>
  </si>
  <si>
    <t>Bahodirova Sabrina Musurmon qizi</t>
  </si>
  <si>
    <t>Erkinova Zahro Elyorjon qizi</t>
  </si>
  <si>
    <t>Eshqobilova Dilbar Ziyodulla qizi</t>
  </si>
  <si>
    <t>Bozorova Aziza Ravshan qizi</t>
  </si>
  <si>
    <t>Xoliqova Marjona Bahtiyor qizi</t>
  </si>
  <si>
    <t>Eshboboyeva Munisa Aminjon qizi</t>
  </si>
  <si>
    <t>Murodullayeva Ozoda Bahodir qizi</t>
  </si>
  <si>
    <t>Amirova Shodiyona Xasan qizi</t>
  </si>
  <si>
    <t>Muhammadiyeva Rayxon Rahmatovna</t>
  </si>
  <si>
    <t xml:space="preserve">To'lqinova Soliha </t>
  </si>
  <si>
    <t>Boltayeva Shaxlo Faxriddin qizi</t>
  </si>
  <si>
    <t>Ro'ziyeva Moxira Shuxrat qizi</t>
  </si>
  <si>
    <t>Tojiyev Zarina Kamoljon qizi</t>
  </si>
  <si>
    <t>Xaydarova Zebiniso Asqar qizi</t>
  </si>
  <si>
    <t>Axmadova Zarnigor Habibullo qizi</t>
  </si>
  <si>
    <t>Poyonova Gulsevar Baxtiyor qizi</t>
  </si>
  <si>
    <t>Ibodullayeva Latofat Sayit qizi</t>
  </si>
  <si>
    <t>Boymurodova Mushtariy Bosun qizi</t>
  </si>
  <si>
    <t>Ergasheva Marjona Lutfullo qizi</t>
  </si>
  <si>
    <t>Toshpulatova Gulsevar Alisher qizi</t>
  </si>
  <si>
    <t>Rahmonova Mahfuza Anvar qizi</t>
  </si>
  <si>
    <t xml:space="preserve">Suyunova Sevinch Obidjon qizi </t>
  </si>
  <si>
    <t>Aliyeva Marjona Anvar qizi</t>
  </si>
  <si>
    <t>Jabborova Gulchiroy Normaxmat qizi</t>
  </si>
  <si>
    <t>Xaydarova Gulsevar Asqar qizi</t>
  </si>
  <si>
    <t>Nazarova Mahliyo Xaqberdiyevna</t>
  </si>
  <si>
    <t>Hasanova Gulhayo Akmalovna</t>
  </si>
  <si>
    <t>Baratova Mahzuna</t>
  </si>
  <si>
    <t>Rahmonqulova Gulsanam O'ktam qizi</t>
  </si>
  <si>
    <t>Yusupova Oygul Qurbonmurod qizi</t>
  </si>
  <si>
    <t>Norboboyeva Go'zal Azamat qizi</t>
  </si>
  <si>
    <t>Ibodullayeva Komila Temirovna</t>
  </si>
  <si>
    <t>Ismoilova Xumoroy Qudratullo qizi</t>
  </si>
  <si>
    <t>Normo'minova Asal Qulmamatovna</t>
  </si>
  <si>
    <t>Buxorova Farangiz Tufli qizi</t>
  </si>
  <si>
    <t>Kubayeva Madina Zoyir qizi</t>
  </si>
  <si>
    <t>Mirzayeva Sevara Nematovna</t>
  </si>
  <si>
    <t>Turayeva Manzura Yorqinovna</t>
  </si>
  <si>
    <t>Xalilova Zuhra Faxriddin qizi</t>
  </si>
  <si>
    <t>JAMI</t>
  </si>
  <si>
    <t>T/R</t>
  </si>
  <si>
    <t>Kursi</t>
  </si>
  <si>
    <t>Guruhi</t>
  </si>
  <si>
    <t>Shartnoma summasi</t>
  </si>
  <si>
    <t>To'lagan summasi</t>
  </si>
  <si>
    <t>Qarzi</t>
  </si>
  <si>
    <t>JAMI:</t>
  </si>
  <si>
    <t>AKADEMIK &amp; T.S.CH</t>
  </si>
  <si>
    <t>Otaqulova Moxiniso Tursunpo'lat qizi</t>
  </si>
  <si>
    <t>Nasimova Durdona Yormahmat qizi</t>
  </si>
  <si>
    <t>To'g'izova Zahro Tohir qizi</t>
  </si>
  <si>
    <t>Numonova Feruza Mirhomid qizi</t>
  </si>
  <si>
    <t>24-14</t>
  </si>
  <si>
    <t>Shodiyeva Fayyoza Farxod qizi</t>
  </si>
  <si>
    <t>Ergasheva Sevinch</t>
  </si>
  <si>
    <t>Ziyodullayeva Zahro Ubaydullo qizi</t>
  </si>
  <si>
    <t>Hasanova Gulsevar Lochinbek qizi</t>
  </si>
  <si>
    <t>Mahmudova Munisa Mahsudjonovna</t>
  </si>
  <si>
    <t>Xamrayeva Niginabonu Jamshid qizi</t>
  </si>
  <si>
    <t>Suyunova Ruxshona Karimjon qizi</t>
  </si>
  <si>
    <t>Omonova Sumbula Farxod qizi</t>
  </si>
  <si>
    <t>Norboboyeva Zahro Nuriddin qizi</t>
  </si>
  <si>
    <t>G'abborova Xosiyat Nosir qizi</t>
  </si>
  <si>
    <t>Usmonova Jasmina Nodir qizi</t>
  </si>
  <si>
    <t>Soliyeva E'zoza</t>
  </si>
  <si>
    <t>To'xtayeva Shirida Sirojiddin qizi</t>
  </si>
  <si>
    <t>Usmonova Shabbona Botir qizi</t>
  </si>
  <si>
    <t>Qarshiyeva Ruxshona Otabek qizi</t>
  </si>
  <si>
    <t>Toshkentova Sevinch Zayniddinovna</t>
  </si>
  <si>
    <t>Omonova Dilorom Toshkent qizi</t>
  </si>
  <si>
    <t>To'rayeva Elsenora Sobir qizi</t>
  </si>
  <si>
    <t>Yusupova Asila Iskandar qizi</t>
  </si>
  <si>
    <t xml:space="preserve">Saidaliyeva Sevinch </t>
  </si>
  <si>
    <t>O'roqova Muslima Anvar qizi</t>
  </si>
  <si>
    <t>Abdukarimova Nafosat Faxriddin qizi</t>
  </si>
  <si>
    <t>Eshmuhammadova Yulduz Farhod qizi</t>
  </si>
  <si>
    <t>Baxtiyorova Dinora Akmalovna</t>
  </si>
  <si>
    <t>Xusanboyeva Fotimaxon Baxtiyor qizi</t>
  </si>
  <si>
    <t>Nishonova Hilola Faxriddin qizi</t>
  </si>
  <si>
    <t>Azizova Asila Baxodirxon qizi</t>
  </si>
  <si>
    <t>Sayfullayeva Kumush Lutfullo qizi</t>
  </si>
  <si>
    <t>Jabborova Anora Nuriddin qizi</t>
  </si>
  <si>
    <t>Raimova Zulfizar Rasulovna</t>
  </si>
  <si>
    <t>Abdualimova Nilufar Akbar qizi</t>
  </si>
  <si>
    <t>Meyliqulova Sabrina Baxtiyor qizi</t>
  </si>
  <si>
    <t>Qurbonova Gulida Xusan qizi</t>
  </si>
  <si>
    <t>Abduvaliyeva Jasmina Erkin qizi</t>
  </si>
  <si>
    <t>Nomozova Rayhona Murodulla qizi</t>
  </si>
  <si>
    <t>Jumayeva Xolnisa Orif qizi</t>
  </si>
  <si>
    <t>Salimova Zarina Sobirjon qizi</t>
  </si>
  <si>
    <t>Abduhakimova Xurshida Abdixakim qizi</t>
  </si>
  <si>
    <t>Sayfiyeva Parizod Zafarovna</t>
  </si>
  <si>
    <t>Usmonjonova Marjona Dilshod qizi</t>
  </si>
  <si>
    <t>Mahmudjonova Mohinur Sanjar qizi</t>
  </si>
  <si>
    <t>Sayfillayeva Anisa Jamshidzoda</t>
  </si>
  <si>
    <t>I.F.O</t>
  </si>
  <si>
    <t>Minus summasi</t>
  </si>
  <si>
    <t>Karimova Ruxshona Homid qizi</t>
  </si>
  <si>
    <t>Ziyoviddinova Laylo Xurram qizi</t>
  </si>
  <si>
    <t>Итог</t>
  </si>
  <si>
    <t>Ochilov.D</t>
  </si>
  <si>
    <t>Abdijamolova Jasmina Jonibek qizi</t>
  </si>
  <si>
    <t>Isoqova Gulsevar Sarvar qizi</t>
  </si>
  <si>
    <t xml:space="preserve">Qayumova Kamola Raxmatullayevna </t>
  </si>
  <si>
    <t xml:space="preserve">Muminova Zebiniso Ergashovna </t>
  </si>
  <si>
    <t>Abdusamadova Laylo Isomiddin qizi</t>
  </si>
  <si>
    <t>Axmadova Zebo Hoshim qizi</t>
  </si>
  <si>
    <t>Boymurodova Muxlisa Sherali qizi</t>
  </si>
  <si>
    <t xml:space="preserve">Esanova Madina Jalolovna </t>
  </si>
  <si>
    <t>Faxriddinova Charos Faxriddin qizi</t>
  </si>
  <si>
    <t>G'ayratova Ruxshona Maqsud qizi</t>
  </si>
  <si>
    <t>Jo'raqulova Feruza Axmad qizi</t>
  </si>
  <si>
    <t>Kenjayeva Durdona Yorqin qizi</t>
  </si>
  <si>
    <t xml:space="preserve">Mingaliyeva Umida Maratovna </t>
  </si>
  <si>
    <t>Mirova Farida Sobirjon qizi</t>
  </si>
  <si>
    <t>Nafasova Sevara Shodiyor qizi</t>
  </si>
  <si>
    <t>Narzullayeva Dildora Uroq qizi</t>
  </si>
  <si>
    <t>Obidjonova Zulayho Obidjon qizi</t>
  </si>
  <si>
    <t xml:space="preserve">Ostonova Shahzoda Xasanovna </t>
  </si>
  <si>
    <t>Qobilova Feruzabonu Xizirali qizi</t>
  </si>
  <si>
    <t>Qo'yliyeva Shahzoda Ramon qizi</t>
  </si>
  <si>
    <t>Raxmatova Qunduzoy Sodiq qizi</t>
  </si>
  <si>
    <t>Ro'ziyeva Nargiza G'ayrat qizi</t>
  </si>
  <si>
    <t xml:space="preserve">Safarova Go'zal Kenjayevna </t>
  </si>
  <si>
    <t xml:space="preserve">Samadova Dilafro'z Tilolovna </t>
  </si>
  <si>
    <t>Turayeva Nilufar Shonazar qizi</t>
  </si>
  <si>
    <t xml:space="preserve">Xasanova Muqaddas Olim qizi </t>
  </si>
  <si>
    <t>Xolqobilova Munira Ortiq qizi</t>
  </si>
  <si>
    <t>Xolqobilova Sinora Odil qizi</t>
  </si>
  <si>
    <t>Abdulhaqova Tursuntosh Iskandar qizi</t>
  </si>
  <si>
    <t>Abdurahmonova Sarvinoz Rashid qizi</t>
  </si>
  <si>
    <t xml:space="preserve">Abduraxmonova Marjona Akmal qizi </t>
  </si>
  <si>
    <t>Abdvaliyeva Muxlisa Abdisoli qizi</t>
  </si>
  <si>
    <t xml:space="preserve">Ashurova Iroda Pardayevna </t>
  </si>
  <si>
    <t xml:space="preserve">Boboqulova Gulzoda Baxodirovna </t>
  </si>
  <si>
    <t xml:space="preserve">Ergasheva Nilufar Fayzullayevna </t>
  </si>
  <si>
    <t>Izzatova Sitora Furqat qizi</t>
  </si>
  <si>
    <t>Jalolova Farangiz Abdinabi qizi</t>
  </si>
  <si>
    <t>Mahammadiyeva Gulmira Xxx</t>
  </si>
  <si>
    <t>Mahmudaliyeva Nargiza Uralovna</t>
  </si>
  <si>
    <t>Numonova Feruza Neymatullo qizi</t>
  </si>
  <si>
    <t>Ochilova Malika Ilhom qizi</t>
  </si>
  <si>
    <t>Rajabova Madina Musurmon qizi</t>
  </si>
  <si>
    <t>Sodiqova Muhinur Burxon qizi</t>
  </si>
  <si>
    <t>Sultonova Sayohat Latif qizi</t>
  </si>
  <si>
    <t>Tillayeva Shahlo Raxmonali qizi</t>
  </si>
  <si>
    <t>Alisherova Aziza Alisher qizi</t>
  </si>
  <si>
    <t>Azizova Sevinchoy Shuxrat qizi</t>
  </si>
  <si>
    <t>Baratova Sabrina Axtam qizi</t>
  </si>
  <si>
    <t>Bozorova Barno Xasanovna</t>
  </si>
  <si>
    <t>Eshboboyeva Muxayyo Aminjon qizi</t>
  </si>
  <si>
    <t>Hazratova Husniya Sunnatullo qizi</t>
  </si>
  <si>
    <t>Ismatova Ruxshona Ziyodullo qizi</t>
  </si>
  <si>
    <t>Jumayeva Go'zal Rustam qizi</t>
  </si>
  <si>
    <t>Kamolova Marjona Solik qizi</t>
  </si>
  <si>
    <t>Melikova Madina Shovkat qizi</t>
  </si>
  <si>
    <t>Muminova Sevinch Hasan qizi</t>
  </si>
  <si>
    <t>Nazarova Xusnida Abduxakimjonovna</t>
  </si>
  <si>
    <t>Oripova Gulmira Jasur qizi</t>
  </si>
  <si>
    <t>Qahhorova Nozima Nazirjon qizi</t>
  </si>
  <si>
    <t>Tursinova Aziza Uyg'ur qizi</t>
  </si>
  <si>
    <t>Xayrullayeva Kumush Hamidulla qizi</t>
  </si>
  <si>
    <t>Yo'ldosheva Maxsuda Qushqor qizi</t>
  </si>
  <si>
    <t>Yuldosheva Barno</t>
  </si>
  <si>
    <t>Zarifova Munisa Samijon qizi</t>
  </si>
  <si>
    <t>Abdurahmonova Umida Abdusamad qizi</t>
  </si>
  <si>
    <t>Maxmadaliyeva Gulchaman Usar qizi</t>
  </si>
  <si>
    <t>Burxonova Aziza Barat qizi</t>
  </si>
  <si>
    <t xml:space="preserve">Nazirqulova Sitora Sherzodovna </t>
  </si>
  <si>
    <t xml:space="preserve">Yo'ldosheva Muxayyo Majitovna </t>
  </si>
  <si>
    <t>Muzaffarova Farangiz Musliddin qizi</t>
  </si>
  <si>
    <t xml:space="preserve">Tursunova Rayhona Asqarali qizi </t>
  </si>
  <si>
    <t xml:space="preserve">Avazova Lobar Axtam qizi </t>
  </si>
  <si>
    <t>Chuliyeva Sevinch Azamjon qizi</t>
  </si>
  <si>
    <t>Hamroqulova Jamila Amriddin qizi</t>
  </si>
  <si>
    <t>Muzaffarova Aziza Anvarovna</t>
  </si>
  <si>
    <t>Ozodova Sarvara Tolibjon qizi</t>
  </si>
  <si>
    <t>Jalilova Nozima Xalil qizi</t>
  </si>
  <si>
    <t xml:space="preserve">Nurmatova Aziza Renatovna </t>
  </si>
  <si>
    <t>115</t>
  </si>
  <si>
    <t>Vaydillayeva Farangiz Fayzullayevna</t>
  </si>
  <si>
    <t>Narsullayeva Bahora Jahongir qizi</t>
  </si>
  <si>
    <t>Abdixakimova Fayoza Kamol qizi</t>
  </si>
  <si>
    <t>Achilova Nozanin Turgun qizi</t>
  </si>
  <si>
    <t>Ahadova Intizor Husniddin qizi</t>
  </si>
  <si>
    <t>Axmadova Muxlisa Asror qizi</t>
  </si>
  <si>
    <t>Bozorova Gulasal Anvar qizi</t>
  </si>
  <si>
    <t>Jamolova O'g'iloy Norxo'ja qizi</t>
  </si>
  <si>
    <t>Jo'raqulova Asilzoda Shuhratjon qizi</t>
  </si>
  <si>
    <t>Jovliyeva Ruxshona Sobir qizi</t>
  </si>
  <si>
    <t>Musurmonova Ro'zigul Rasul qizi</t>
  </si>
  <si>
    <t>Normamatova Shaydo Umid qizi</t>
  </si>
  <si>
    <t>Normurodova Marjona Javlon qizi</t>
  </si>
  <si>
    <t>O'roqova Rayhona Ulug'bek qizi</t>
  </si>
  <si>
    <t>Raupova Dilrabo Shukrullo qizi</t>
  </si>
  <si>
    <t>Raxmonova Laziza Oybek qizi</t>
  </si>
  <si>
    <t>Rustamova O'g'iloy Sobirjon qizi</t>
  </si>
  <si>
    <t>Suyarova Malika Sarvar qizi</t>
  </si>
  <si>
    <t>To'ychiyeva Sevara Zoxir qizi</t>
  </si>
  <si>
    <t>Xalilova Go'zal Abdivohid qizi</t>
  </si>
  <si>
    <t>Xalimova Sevela Abdivohid qizi</t>
  </si>
  <si>
    <t>Yusupova Dilshoda Ilhom qizi</t>
  </si>
  <si>
    <t>G'apporova  Mehriniso Hasan qizi</t>
  </si>
  <si>
    <t>Orifova Shahlo Anvar qizi</t>
  </si>
  <si>
    <t>Po'latova Sumbula Turaqulovna</t>
  </si>
  <si>
    <t>Xurramova Zarifa Xayrullo qizi</t>
  </si>
  <si>
    <t>Sayfullayeva Gullola Asqar qizi</t>
  </si>
  <si>
    <t>Tursunova Aziza Xabibullo qizi</t>
  </si>
  <si>
    <t>Guruhlar soni</t>
  </si>
  <si>
    <t>Umumiy tushum</t>
  </si>
  <si>
    <t>Umumiy qarzdorlik</t>
  </si>
  <si>
    <t>Shartnoma qiymati</t>
  </si>
  <si>
    <t>Guruhlar</t>
  </si>
  <si>
    <t>Umumiy shartnoma qiymati</t>
  </si>
  <si>
    <t>Fozida</t>
  </si>
  <si>
    <t>ABDURAXMONOVA UMIDA ABDISAMAT QIZI</t>
  </si>
  <si>
    <t xml:space="preserve">Alisherova Aziza Alisher qizi </t>
  </si>
  <si>
    <t>Arzillayeva Dilorom Bahodir qizi</t>
  </si>
  <si>
    <t>Axmatova Muxlisa Asror qizi</t>
  </si>
  <si>
    <t>Baratova Sabrina Aktam qizi</t>
  </si>
  <si>
    <t>BERDIYEVA GULCHEHRA ALISHEROVNA</t>
  </si>
  <si>
    <t>Bozorov Shahzod Azamat o'g'li</t>
  </si>
  <si>
    <t>HASANOVA MUQADDAS OLIM QIZI</t>
  </si>
  <si>
    <t>Hazratova Umriniso Komil qizi</t>
  </si>
  <si>
    <t>Inayotova Kumush Farhod qizi</t>
  </si>
  <si>
    <t>JALILOVA ROXILA SHAMURZAYEVNA</t>
  </si>
  <si>
    <t>Jalilova Roxila Shomirzayevna</t>
  </si>
  <si>
    <t xml:space="preserve">Jo'rayeva Moxinur Sulton qizi </t>
  </si>
  <si>
    <t>Muhiddinova Gulchehra Qo'ziboy qizi</t>
  </si>
  <si>
    <t>MURTAZAEVA IRODA MUMIN QIZI</t>
  </si>
  <si>
    <t>Murtazayeva Iroda Mo'min qizi</t>
  </si>
  <si>
    <t xml:space="preserve">Otamurodova Xolida Ilxomjon qizi </t>
  </si>
  <si>
    <t xml:space="preserve">Quvvataliyeva Noila Fazliddinovna </t>
  </si>
  <si>
    <t>Rahmonqulovna Sevinch Rashid qizi</t>
  </si>
  <si>
    <t>Shodiyeva Sevinch Shavkat qizi</t>
  </si>
  <si>
    <t>Vaydullayeva Farangiz Fayzullayevna</t>
  </si>
  <si>
    <t>Xurramova Go'zal Rustam qizi</t>
  </si>
  <si>
    <t>Yo'ldosheva Barno Zoir qizi</t>
  </si>
  <si>
    <t>G'ulomova Sevinch Umurzoq qizi</t>
  </si>
  <si>
    <t>+</t>
  </si>
  <si>
    <t>Nematjonova Marjona Tuychi qizi</t>
  </si>
  <si>
    <t xml:space="preserve">Ubaydullayeva Zuhra Zokir qizi </t>
  </si>
  <si>
    <t>ABDUSAMATOVA LAYLO ISOMIDDIN QIZI</t>
  </si>
  <si>
    <t>AVAZOVA LOBAR AXTAM QIZI</t>
  </si>
  <si>
    <t>AHMADOVA ZEBO HOSHIM QIZI</t>
  </si>
  <si>
    <t>BOYMUROTOVA MUXLISA SHERALI QIZI</t>
  </si>
  <si>
    <t>CHO‘LLIYEVA SEVINCH AZAMJON QIZI</t>
  </si>
  <si>
    <t>ESANOVA MADINA JALOL QIZI</t>
  </si>
  <si>
    <t>FAXRIDDINOVA CHAROS XXX</t>
  </si>
  <si>
    <t>G‘AYRATOVA RUHSHONA MAQSUD QIZI</t>
  </si>
  <si>
    <t>JO‘RAQULOVA FERUZA AHMADJON QIZI</t>
  </si>
  <si>
    <t>MINGALIYEVA UMIDA MARATOVNA</t>
  </si>
  <si>
    <t>MIROVA FARIDA</t>
  </si>
  <si>
    <t>NURMATOVA AZIZA RENATOVNA</t>
  </si>
  <si>
    <t>OBIDJONOVA ZULAYXO OBIDJON QIZI</t>
  </si>
  <si>
    <t>OSTONOVA SHAXZODA XASANOVNA</t>
  </si>
  <si>
    <t>QUYLIYEVA SHAXZODA RAMON QIZI</t>
  </si>
  <si>
    <t>RAXMATOVA KUNDUZOY SODIQ QIZI</t>
  </si>
  <si>
    <t>RUZIYEVA NARGIZA G‘AYRAT QIZI</t>
  </si>
  <si>
    <t>SAFAROVA GUZAL KENJA QIZI</t>
  </si>
  <si>
    <t>SAMATOVA DILAFRUZ TILOVOVNA</t>
  </si>
  <si>
    <t>YULDASHEVA MUXAYYO MAJITOVNA</t>
  </si>
  <si>
    <t>ABDIVALIYEVA MUXLISA ABDISOLI QIZI</t>
  </si>
  <si>
    <t>ABDUJAMILOVA JASMINA JONIBEK QIZI</t>
  </si>
  <si>
    <t>ABDURAXMONOVA MARJONA AKMAL QIZI</t>
  </si>
  <si>
    <t>ASHUROVA IRODA</t>
  </si>
  <si>
    <t>BOBOQULOVA GULZODA BAXODIROVNA</t>
  </si>
  <si>
    <t>ERGASHEVA NILUFAR</t>
  </si>
  <si>
    <t>JALOLOVA FARANGIZXON ABDINABI QIZI</t>
  </si>
  <si>
    <t>MO'MINOVA ZEBINISO ERGASHEVNA</t>
  </si>
  <si>
    <t>MUHAMMADIYEVA NARGIZA URALOVNA</t>
  </si>
  <si>
    <t>NAZIRQULOVA SITORA SHERZODOVNA</t>
  </si>
  <si>
    <t>NO'MONOVA FERUZA NE'MATULLO QIZI</t>
  </si>
  <si>
    <t>OCHILOVA MALIKABONU ILHOM QIZI</t>
  </si>
  <si>
    <t>QAYUMOVA KAMOLA RAXMATULLAYEVNA</t>
  </si>
  <si>
    <t>RAJABOVA MADINA MUXIDDIN QIZI</t>
  </si>
  <si>
    <t>SODIQOVA MOHINUR BURXON QIZI</t>
  </si>
  <si>
    <t>TURSUNOVA RAYHONA ASQARALI QIZI</t>
  </si>
  <si>
    <t>ESHBOBOYEVA MUHAYYO AMINJON QIZI</t>
  </si>
  <si>
    <t>ESHTEMIROVA SEVINCH</t>
  </si>
  <si>
    <t>Eshtemirova Sevinch Sattor qizi</t>
  </si>
  <si>
    <t>ISMATOVA RUHSHONA ZIYODULLA QIZI</t>
  </si>
  <si>
    <t>JUMAYEVA GUZAL RUSTAM QIZI</t>
  </si>
  <si>
    <t>KAMOLOVA MARJONA</t>
  </si>
  <si>
    <t>MAXMUDOVA GULCHAMAN USAR QIZI</t>
  </si>
  <si>
    <t>NAZAROVA XUSNIDA</t>
  </si>
  <si>
    <t>OZODOVA SARVAR TOLIB QIZI</t>
  </si>
  <si>
    <t>TURSUNOVA AZIZA</t>
  </si>
  <si>
    <t>YO'LDOSHEVA MAQSUDA QO'CHQOR QIZI</t>
  </si>
  <si>
    <t>Fayzullayeva Zuhra Bahrom qizi</t>
  </si>
  <si>
    <t>Suyunova Marjona Ravshan qizi</t>
  </si>
  <si>
    <t>Xojimurodova Umida Pirnazar qizi</t>
  </si>
  <si>
    <t>Suyunova Shahlo Tohir qizi</t>
  </si>
  <si>
    <t>Tursunova Sevinch Turg'un qizi</t>
  </si>
  <si>
    <t xml:space="preserve">Jumayeva Xurshida Safar qizi
</t>
  </si>
  <si>
    <t>Aminova Diyora Saidmurodovna</t>
  </si>
  <si>
    <t>Norxo'jayeva Charos Boxodirovna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</si>
</sst>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\ _₽"/>
    <numFmt numFmtId="166" formatCode="_-* #,##0\ _₽_-;\-* #,##0\ _₽_-;_-* &quot;-&quot;\ _₽_-;_-@_-"/>
    <numFmt numFmtId="167" formatCode="#,##0\ [$soʻm-443];\-#,##0\ [$soʻm-443]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i/>
      <u/>
      <sz val="24"/>
      <color rgb="FF0070C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sz val="14"/>
      <color theme="0"/>
      <name val="Times New Roman"/>
      <family val="1"/>
      <charset val="204"/>
    </font>
    <font>
      <b/>
      <sz val="14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/>
    <xf numFmtId="9" fontId="2" fillId="0" borderId="0"/>
    <xf numFmtId="0" fontId="4" fillId="0" borderId="0"/>
  </cellStyleXfs>
  <cellXfs count="147">
    <xf numFmtId="0" fontId="0" fillId="0" borderId="0" xfId="0"/>
    <xf numFmtId="43" fontId="0" fillId="0" borderId="0" xfId="2" applyFont="1"/>
    <xf numFmtId="164" fontId="0" fillId="0" borderId="0" xfId="2" applyNumberFormat="1" applyFont="1"/>
    <xf numFmtId="1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9" fontId="0" fillId="0" borderId="0" xfId="3" applyFont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0" fillId="5" borderId="4" xfId="0" applyFill="1" applyBorder="1"/>
    <xf numFmtId="0" fontId="0" fillId="3" borderId="4" xfId="0" applyFill="1" applyBorder="1"/>
    <xf numFmtId="164" fontId="0" fillId="5" borderId="4" xfId="0" applyNumberFormat="1" applyFill="1" applyBorder="1"/>
    <xf numFmtId="43" fontId="0" fillId="5" borderId="4" xfId="0" applyNumberFormat="1" applyFill="1" applyBorder="1"/>
    <xf numFmtId="43" fontId="0" fillId="5" borderId="5" xfId="0" applyNumberFormat="1" applyFill="1" applyBorder="1"/>
    <xf numFmtId="164" fontId="0" fillId="0" borderId="4" xfId="0" applyNumberFormat="1" applyBorder="1"/>
    <xf numFmtId="43" fontId="0" fillId="0" borderId="4" xfId="0" applyNumberFormat="1" applyBorder="1"/>
    <xf numFmtId="43" fontId="0" fillId="0" borderId="5" xfId="0" applyNumberFormat="1" applyBorder="1"/>
    <xf numFmtId="164" fontId="5" fillId="5" borderId="4" xfId="0" applyNumberFormat="1" applyFont="1" applyFill="1" applyBorder="1"/>
    <xf numFmtId="164" fontId="5" fillId="0" borderId="4" xfId="0" applyNumberFormat="1" applyFont="1" applyBorder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5" fontId="8" fillId="0" borderId="0" xfId="2" applyNumberFormat="1" applyFont="1" applyAlignment="1">
      <alignment horizontal="center" vertical="center"/>
    </xf>
    <xf numFmtId="43" fontId="8" fillId="0" borderId="0" xfId="2" applyFont="1"/>
    <xf numFmtId="0" fontId="8" fillId="0" borderId="0" xfId="0" applyFont="1"/>
    <xf numFmtId="165" fontId="8" fillId="0" borderId="6" xfId="2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8" fillId="0" borderId="0" xfId="2" applyNumberFormat="1" applyFont="1"/>
    <xf numFmtId="49" fontId="7" fillId="0" borderId="6" xfId="0" applyNumberFormat="1" applyFont="1" applyBorder="1" applyAlignment="1">
      <alignment horizontal="center"/>
    </xf>
    <xf numFmtId="0" fontId="8" fillId="0" borderId="6" xfId="0" applyFont="1" applyBorder="1"/>
    <xf numFmtId="164" fontId="8" fillId="0" borderId="6" xfId="2" applyNumberFormat="1" applyFont="1" applyBorder="1" applyAlignment="1">
      <alignment horizontal="center" vertical="center"/>
    </xf>
    <xf numFmtId="164" fontId="8" fillId="0" borderId="10" xfId="2" applyNumberFormat="1" applyFont="1" applyBorder="1" applyAlignment="1">
      <alignment horizontal="center" vertical="center"/>
    </xf>
    <xf numFmtId="0" fontId="8" fillId="6" borderId="0" xfId="0" applyFont="1" applyFill="1"/>
    <xf numFmtId="165" fontId="10" fillId="0" borderId="0" xfId="0" applyNumberFormat="1" applyFont="1" applyAlignment="1">
      <alignment horizontal="center" vertical="center"/>
    </xf>
    <xf numFmtId="165" fontId="8" fillId="0" borderId="0" xfId="2" applyNumberFormat="1" applyFont="1" applyAlignment="1">
      <alignment horizontal="left" vertical="center"/>
    </xf>
    <xf numFmtId="164" fontId="8" fillId="0" borderId="6" xfId="2" applyNumberFormat="1" applyFont="1" applyBorder="1" applyAlignment="1">
      <alignment horizontal="center"/>
    </xf>
    <xf numFmtId="49" fontId="7" fillId="6" borderId="6" xfId="0" applyNumberFormat="1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164" fontId="8" fillId="6" borderId="6" xfId="2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9" fillId="0" borderId="6" xfId="2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0" fontId="10" fillId="0" borderId="0" xfId="0" applyFont="1"/>
    <xf numFmtId="49" fontId="11" fillId="9" borderId="6" xfId="0" applyNumberFormat="1" applyFont="1" applyFill="1" applyBorder="1" applyAlignment="1">
      <alignment horizontal="center" vertical="center" textRotation="90" wrapText="1"/>
    </xf>
    <xf numFmtId="0" fontId="11" fillId="9" borderId="6" xfId="0" applyFont="1" applyFill="1" applyBorder="1" applyAlignment="1">
      <alignment horizontal="center" vertical="center" wrapText="1"/>
    </xf>
    <xf numFmtId="164" fontId="11" fillId="9" borderId="6" xfId="2" applyNumberFormat="1" applyFont="1" applyFill="1" applyBorder="1" applyAlignment="1">
      <alignment horizontal="center" vertical="center" wrapText="1"/>
    </xf>
    <xf numFmtId="49" fontId="8" fillId="6" borderId="6" xfId="0" applyNumberFormat="1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164" fontId="8" fillId="6" borderId="6" xfId="2" applyNumberFormat="1" applyFont="1" applyFill="1" applyBorder="1"/>
    <xf numFmtId="0" fontId="8" fillId="6" borderId="6" xfId="0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/>
    <xf numFmtId="164" fontId="8" fillId="7" borderId="6" xfId="2" applyNumberFormat="1" applyFont="1" applyFill="1" applyBorder="1"/>
    <xf numFmtId="49" fontId="8" fillId="8" borderId="6" xfId="0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 vertical="center"/>
    </xf>
    <xf numFmtId="0" fontId="8" fillId="8" borderId="6" xfId="0" applyFont="1" applyFill="1" applyBorder="1"/>
    <xf numFmtId="164" fontId="8" fillId="8" borderId="6" xfId="2" applyNumberFormat="1" applyFont="1" applyFill="1" applyBorder="1"/>
    <xf numFmtId="49" fontId="8" fillId="5" borderId="6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vertical="center"/>
    </xf>
    <xf numFmtId="164" fontId="8" fillId="5" borderId="6" xfId="2" applyNumberFormat="1" applyFont="1" applyFill="1" applyBorder="1"/>
    <xf numFmtId="164" fontId="8" fillId="0" borderId="6" xfId="2" applyNumberFormat="1" applyFont="1" applyBorder="1"/>
    <xf numFmtId="0" fontId="8" fillId="5" borderId="6" xfId="0" applyFont="1" applyFill="1" applyBorder="1"/>
    <xf numFmtId="49" fontId="7" fillId="5" borderId="6" xfId="0" applyNumberFormat="1" applyFont="1" applyFill="1" applyBorder="1" applyAlignment="1">
      <alignment horizontal="center"/>
    </xf>
    <xf numFmtId="164" fontId="8" fillId="5" borderId="6" xfId="2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7" fillId="0" borderId="6" xfId="0" applyFont="1" applyBorder="1"/>
    <xf numFmtId="164" fontId="7" fillId="0" borderId="6" xfId="0" applyNumberFormat="1" applyFont="1" applyBorder="1"/>
    <xf numFmtId="166" fontId="13" fillId="0" borderId="9" xfId="2" applyNumberFormat="1" applyFont="1" applyBorder="1" applyAlignment="1">
      <alignment vertical="center" wrapText="1"/>
    </xf>
    <xf numFmtId="167" fontId="13" fillId="0" borderId="9" xfId="2" applyNumberFormat="1" applyFont="1" applyBorder="1" applyAlignment="1">
      <alignment vertical="center"/>
    </xf>
    <xf numFmtId="49" fontId="11" fillId="10" borderId="6" xfId="0" applyNumberFormat="1" applyFont="1" applyFill="1" applyBorder="1" applyAlignment="1">
      <alignment horizontal="center" vertical="center" textRotation="90" wrapText="1"/>
    </xf>
    <xf numFmtId="0" fontId="11" fillId="10" borderId="6" xfId="0" applyFont="1" applyFill="1" applyBorder="1" applyAlignment="1">
      <alignment horizontal="center" vertical="center" wrapText="1"/>
    </xf>
    <xf numFmtId="164" fontId="11" fillId="10" borderId="6" xfId="2" applyNumberFormat="1" applyFont="1" applyFill="1" applyBorder="1" applyAlignment="1">
      <alignment horizontal="center" vertical="center" wrapText="1"/>
    </xf>
    <xf numFmtId="49" fontId="7" fillId="10" borderId="6" xfId="0" applyNumberFormat="1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 vertical="center"/>
    </xf>
    <xf numFmtId="0" fontId="8" fillId="10" borderId="6" xfId="0" applyFont="1" applyFill="1" applyBorder="1"/>
    <xf numFmtId="164" fontId="8" fillId="10" borderId="6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165" fontId="14" fillId="0" borderId="6" xfId="2" applyNumberFormat="1" applyFont="1" applyBorder="1" applyAlignment="1">
      <alignment horizontal="center" vertical="center"/>
    </xf>
    <xf numFmtId="165" fontId="15" fillId="7" borderId="6" xfId="2" applyNumberFormat="1" applyFont="1" applyFill="1" applyBorder="1" applyAlignment="1">
      <alignment horizontal="center" vertical="center"/>
    </xf>
    <xf numFmtId="166" fontId="11" fillId="10" borderId="6" xfId="2" applyNumberFormat="1" applyFont="1" applyFill="1" applyBorder="1" applyAlignment="1">
      <alignment horizontal="center" vertical="center" wrapText="1"/>
    </xf>
    <xf numFmtId="43" fontId="8" fillId="6" borderId="0" xfId="2" applyFont="1" applyFill="1"/>
    <xf numFmtId="49" fontId="7" fillId="8" borderId="6" xfId="0" applyNumberFormat="1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 vertical="center" wrapText="1"/>
    </xf>
    <xf numFmtId="164" fontId="8" fillId="8" borderId="6" xfId="2" applyNumberFormat="1" applyFont="1" applyFill="1" applyBorder="1" applyAlignment="1">
      <alignment horizontal="center" vertical="center"/>
    </xf>
    <xf numFmtId="43" fontId="8" fillId="8" borderId="0" xfId="2" applyFont="1" applyFill="1"/>
    <xf numFmtId="164" fontId="8" fillId="8" borderId="0" xfId="2" applyNumberFormat="1" applyFont="1" applyFill="1"/>
    <xf numFmtId="0" fontId="8" fillId="8" borderId="0" xfId="0" applyFont="1" applyFill="1"/>
    <xf numFmtId="0" fontId="11" fillId="11" borderId="6" xfId="0" applyFont="1" applyFill="1" applyBorder="1" applyAlignment="1">
      <alignment horizontal="center" vertical="center" wrapText="1"/>
    </xf>
    <xf numFmtId="165" fontId="11" fillId="11" borderId="6" xfId="0" applyNumberFormat="1" applyFont="1" applyFill="1" applyBorder="1" applyAlignment="1">
      <alignment horizontal="center" vertical="center" wrapText="1"/>
    </xf>
    <xf numFmtId="165" fontId="11" fillId="11" borderId="6" xfId="2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/>
    </xf>
    <xf numFmtId="0" fontId="8" fillId="6" borderId="9" xfId="0" applyFont="1" applyFill="1" applyBorder="1"/>
    <xf numFmtId="0" fontId="8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165" fontId="9" fillId="0" borderId="6" xfId="2" applyNumberFormat="1" applyFont="1" applyBorder="1" applyAlignment="1">
      <alignment horizontal="right" vertical="center"/>
    </xf>
    <xf numFmtId="164" fontId="8" fillId="6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0" xfId="0" applyAlignment="1">
      <alignment wrapText="1"/>
    </xf>
    <xf numFmtId="164" fontId="0" fillId="0" borderId="6" xfId="2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164" fontId="8" fillId="0" borderId="16" xfId="2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49" fontId="0" fillId="12" borderId="6" xfId="0" applyNumberFormat="1" applyFill="1" applyBorder="1" applyAlignment="1">
      <alignment horizontal="center" vertical="center"/>
    </xf>
    <xf numFmtId="164" fontId="0" fillId="12" borderId="6" xfId="2" applyNumberFormat="1" applyFont="1" applyFill="1" applyBorder="1" applyAlignment="1">
      <alignment horizontal="center" vertical="center"/>
    </xf>
    <xf numFmtId="0" fontId="8" fillId="13" borderId="6" xfId="0" applyFont="1" applyFill="1" applyBorder="1"/>
    <xf numFmtId="164" fontId="8" fillId="14" borderId="6" xfId="2" applyNumberFormat="1" applyFont="1" applyFill="1" applyBorder="1" applyAlignment="1">
      <alignment horizontal="center" vertical="center"/>
    </xf>
    <xf numFmtId="165" fontId="8" fillId="0" borderId="6" xfId="2" applyNumberFormat="1" applyFont="1" applyBorder="1" applyAlignment="1">
      <alignment horizontal="right" vertical="center"/>
    </xf>
    <xf numFmtId="0" fontId="15" fillId="7" borderId="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6" xfId="0" applyBorder="1" applyAlignment="1">
      <alignment horizontal="center" vertical="center"/>
    </xf>
    <xf numFmtId="0" fontId="0" fillId="0" borderId="17" xfId="0" applyBorder="1"/>
    <xf numFmtId="0" fontId="12" fillId="0" borderId="6" xfId="0" applyFont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</cellXfs>
  <cellStyles count="5">
    <cellStyle name="Обычный" xfId="0" builtinId="0"/>
    <cellStyle name="Обычный 2" xfId="1" xr:uid="{00000000-0005-0000-0000-000001000000}"/>
    <cellStyle name="Обычный 3" xfId="4" xr:uid="{00000000-0005-0000-0000-000004000000}"/>
    <cellStyle name="Процентный" xfId="3" builtinId="5"/>
    <cellStyle name="Финансовый" xfId="2" builtinId="3"/>
  </cellStyles>
  <dxfs count="6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0" formatCode="General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30" formatCode="@"/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30" formatCode="@"/>
      <fill>
        <patternFill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0" formatCode="General"/>
      <fill>
        <patternFill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30" formatCode="@"/>
      <fill>
        <patternFill patternType="solid">
          <fgColor indexed="64"/>
          <bgColor rgb="FF0070C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30" formatCode="@"/>
      <fill>
        <patternFill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ont>
        <strike val="0"/>
        <outline val="0"/>
        <shadow val="0"/>
        <vertAlign val="baseline"/>
        <sz val="14"/>
        <color rgb="FF000000"/>
        <name val="Times New Roman"/>
      </font>
      <fill>
        <patternFill patternType="solid">
          <fgColor rgb="FF000000"/>
          <bgColor rgb="FF0070C0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4"/>
        <color rgb="FF000000"/>
        <name val="Times New Roman"/>
        <family val="1"/>
        <charset val="204"/>
      </font>
      <fill>
        <patternFill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center" vertical="center"/>
      <border outline="0">
        <left style="thin">
          <color indexed="64"/>
        </left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numFmt numFmtId="164" formatCode="_-* #,##0_-;\-* #,##0_-;_-* &quot;-&quot;??_-;_-@_-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center" vertical="center"/>
      <border outline="0">
        <left/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font>
        <strike val="0"/>
        <outline val="0"/>
        <shadow val="0"/>
        <vertAlign val="baseline"/>
        <sz val="14"/>
        <color theme="1"/>
        <name val="Times New Roman"/>
      </font>
      <fill>
        <patternFill patternType="solid">
          <fgColor indexed="64"/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  <family val="1"/>
        <charset val="204"/>
      </font>
      <fill>
        <patternFill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0"/>
        <name val="Times New Roman"/>
        <family val="1"/>
        <charset val="204"/>
      </font>
      <fill>
        <patternFill patternType="solid">
          <fgColor indexed="64"/>
          <bgColor rgb="FF0070C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8:F341" totalsRowCount="1" headerRowDxfId="673" dataDxfId="671" totalsRowDxfId="669" headerRowBorderDxfId="672" tableBorderDxfId="670" totalsRowBorderDxfId="668" dataCellStyle="Финансовый">
  <autoFilter ref="A18:F340" xr:uid="{00000000-0009-0000-0100-000001000000}">
    <filterColumn colId="0">
      <filters>
        <filter val="24-16"/>
      </filters>
    </filterColumn>
  </autoFilter>
  <sortState xmlns:xlrd2="http://schemas.microsoft.com/office/spreadsheetml/2017/richdata2" ref="A23:F337">
    <sortCondition descending="1" ref="F18:F340"/>
  </sortState>
  <tableColumns count="6">
    <tableColumn id="3" xr3:uid="{00000000-0010-0000-0000-000003000000}" name="GURUHI" dataDxfId="11" totalsRowDxfId="10"/>
    <tableColumn id="1" xr3:uid="{00000000-0010-0000-0000-000001000000}" name="№" dataDxfId="9" totalsRowDxfId="8"/>
    <tableColumn id="2" xr3:uid="{00000000-0010-0000-0000-000002000000}" name="Familiiyasi Ismi va Sharfi" totalsRowLabel="JAMI" dataDxfId="7" totalsRowDxfId="6"/>
    <tableColumn id="7" xr3:uid="{00000000-0010-0000-0000-000007000000}" name="Shu vaqtgacha bo'lishi kerak bo'lgan to'lov" totalsRowFunction="sum" dataDxfId="5" totalsRowDxfId="4"/>
    <tableColumn id="4" xr3:uid="{00000000-0010-0000-0000-000004000000}" name="Jami" totalsRowFunction="sum" dataDxfId="3" totalsRowDxfId="2"/>
    <tableColumn id="10" xr3:uid="{00000000-0010-0000-0000-00000A000000}" name="Shu vaqtgacha qarzi" totalsRowFunction="custom" dataDxfId="1" totalsRowDxfId="0">
      <calculatedColumnFormula>Akademik.TSCH!D49-Akademik.TSCH!E49</calculatedColumnFormula>
      <totalsRowFormula array="1">SUMPRODUCT(SUBTOTAL(109,OFFSET(Таблица1[Shu vaqtgacha qarzi],ROW(Таблица1[Shu vaqtgacha qarzi])-MIN(ROW(Таблица1[Shu vaqtgacha qarzi])),0,1))*(Таблица1[Shu vaqtgacha qarzi]&gt;0))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C10" totalsRowCount="1" headerRowDxfId="667" headerRowBorderDxfId="666" tableBorderDxfId="665" totalsRowBorderDxfId="664">
  <autoFilter ref="A1:C9" xr:uid="{00000000-0009-0000-0100-000002000000}"/>
  <tableColumns count="3">
    <tableColumn id="1" xr3:uid="{00000000-0010-0000-0100-000001000000}" name="Guruhi" totalsRowLabel="Итог" dataDxfId="663" totalsRowDxfId="662"/>
    <tableColumn id="2" xr3:uid="{00000000-0010-0000-0100-000002000000}" name="I.F.O" dataDxfId="661" totalsRowDxfId="660"/>
    <tableColumn id="3" xr3:uid="{00000000-0010-0000-0100-000003000000}" name="Minus summasi" totalsRowFunction="sum" dataDxfId="659" totalsRowDxfId="658" dataCellStyle="Финансовый" totalsRowCellStyle="Финансовый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4" displayName="Таблица14" ref="A22:F131" totalsRowCount="1" headerRowDxfId="657" dataDxfId="655" totalsRowDxfId="653" headerRowBorderDxfId="656" tableBorderDxfId="654" totalsRowBorderDxfId="652" dataCellStyle="Финансовый">
  <autoFilter ref="A22:F130" xr:uid="{00000000-0009-0000-0100-000003000000}"/>
  <sortState xmlns:xlrd2="http://schemas.microsoft.com/office/spreadsheetml/2017/richdata2" ref="A23:F101">
    <sortCondition descending="1" ref="F22:F101"/>
  </sortState>
  <tableColumns count="6">
    <tableColumn id="3" xr3:uid="{00000000-0010-0000-0200-000003000000}" name="GURUHI" dataDxfId="651" totalsRowDxfId="650"/>
    <tableColumn id="1" xr3:uid="{00000000-0010-0000-0200-000001000000}" name="№" dataDxfId="649" totalsRowDxfId="648"/>
    <tableColumn id="2" xr3:uid="{00000000-0010-0000-0200-000002000000}" name="Familiiyasi Ismi va Sharfi" totalsRowLabel="JAMI" dataDxfId="647" totalsRowDxfId="646"/>
    <tableColumn id="7" xr3:uid="{00000000-0010-0000-0200-000007000000}" name="Shu vaqtgacha bo'lishi kerak bo'lgan to'lov" totalsRowFunction="sum" dataDxfId="645" totalsRowDxfId="644"/>
    <tableColumn id="4" xr3:uid="{00000000-0010-0000-0200-000004000000}" name="Jami" totalsRowFunction="sum" dataDxfId="643" totalsRowDxfId="642"/>
    <tableColumn id="10" xr3:uid="{00000000-0010-0000-0200-00000A000000}" name="Shu vaqtgacha qarzi" totalsRowFunction="custom" dataDxfId="641" totalsRowDxfId="640">
      <calculatedColumnFormula>D23-E23</calculatedColumnFormula>
      <totalsRowFormula array="1">SUMPRODUCT(SUBTOTAL(109,OFFSET(Таблица14[Shu vaqtgacha qarzi],ROW(Таблица14[Shu vaqtgacha qarzi])-MIN(ROW(Таблица14[Shu vaqtgacha qarzi])),0,1))*(Таблица14[Shu vaqtgacha qarzi]&gt;0))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341"/>
  <sheetViews>
    <sheetView tabSelected="1" view="pageBreakPreview" topLeftCell="A16" zoomScale="70" zoomScaleNormal="100" zoomScaleSheetLayoutView="70" workbookViewId="0">
      <selection activeCell="F341" sqref="F341"/>
    </sheetView>
  </sheetViews>
  <sheetFormatPr defaultColWidth="8.85546875" defaultRowHeight="18.75" x14ac:dyDescent="0.3"/>
  <cols>
    <col min="1" max="1" width="8.28515625" style="23" bestFit="1" customWidth="1"/>
    <col min="2" max="2" width="9.28515625" style="24" bestFit="1" customWidth="1"/>
    <col min="3" max="3" width="46.5703125" style="28" customWidth="1"/>
    <col min="4" max="4" width="24" style="40" bestFit="1" customWidth="1"/>
    <col min="5" max="5" width="23.140625" style="41" bestFit="1" customWidth="1"/>
    <col min="6" max="6" width="23.28515625" style="26" customWidth="1"/>
    <col min="7" max="7" width="18.5703125" style="27" customWidth="1"/>
    <col min="8" max="8" width="16.140625" style="28" customWidth="1"/>
    <col min="9" max="9" width="52.85546875" style="28" customWidth="1"/>
    <col min="10" max="27" width="8.85546875" style="28" customWidth="1"/>
    <col min="28" max="16384" width="8.85546875" style="28"/>
  </cols>
  <sheetData>
    <row r="1" spans="3:6" x14ac:dyDescent="0.3">
      <c r="C1" s="102" t="s">
        <v>0</v>
      </c>
      <c r="D1" s="103" t="s">
        <v>1</v>
      </c>
      <c r="E1" s="104" t="s">
        <v>2</v>
      </c>
      <c r="F1" s="104" t="s">
        <v>3</v>
      </c>
    </row>
    <row r="2" spans="3:6" x14ac:dyDescent="0.3">
      <c r="C2" s="90" t="s">
        <v>4</v>
      </c>
      <c r="D2" s="91" t="s">
        <v>5</v>
      </c>
      <c r="E2" s="29">
        <f t="shared" ref="E2:E14" si="0">COUNTIF($A$19:$A$1040,D2)</f>
        <v>27</v>
      </c>
      <c r="F2" s="136">
        <f t="shared" ref="F2:F14" si="1">SUMIFS(F:F, A:A, D2, F:F, "&gt;0")</f>
        <v>25913073.530000001</v>
      </c>
    </row>
    <row r="3" spans="3:6" x14ac:dyDescent="0.3">
      <c r="C3" s="90" t="s">
        <v>6</v>
      </c>
      <c r="D3" s="91" t="s">
        <v>7</v>
      </c>
      <c r="E3" s="29">
        <f t="shared" si="0"/>
        <v>24</v>
      </c>
      <c r="F3" s="136">
        <f t="shared" si="1"/>
        <v>28900000</v>
      </c>
    </row>
    <row r="4" spans="3:6" x14ac:dyDescent="0.3">
      <c r="C4" s="90" t="s">
        <v>8</v>
      </c>
      <c r="D4" s="91" t="s">
        <v>9</v>
      </c>
      <c r="E4" s="29">
        <f t="shared" si="0"/>
        <v>24</v>
      </c>
      <c r="F4" s="136">
        <f t="shared" si="1"/>
        <v>19959500</v>
      </c>
    </row>
    <row r="5" spans="3:6" x14ac:dyDescent="0.3">
      <c r="C5" s="90" t="s">
        <v>10</v>
      </c>
      <c r="D5" s="91" t="s">
        <v>11</v>
      </c>
      <c r="E5" s="29">
        <f t="shared" si="0"/>
        <v>22</v>
      </c>
      <c r="F5" s="136">
        <f t="shared" si="1"/>
        <v>5600000</v>
      </c>
    </row>
    <row r="6" spans="3:6" x14ac:dyDescent="0.3">
      <c r="C6" s="90" t="s">
        <v>12</v>
      </c>
      <c r="D6" s="91" t="s">
        <v>13</v>
      </c>
      <c r="E6" s="29">
        <f t="shared" si="0"/>
        <v>18</v>
      </c>
      <c r="F6" s="136">
        <f t="shared" si="1"/>
        <v>23601000</v>
      </c>
    </row>
    <row r="7" spans="3:6" x14ac:dyDescent="0.3">
      <c r="C7" s="90" t="s">
        <v>14</v>
      </c>
      <c r="D7" s="91" t="s">
        <v>15</v>
      </c>
      <c r="E7" s="29">
        <f t="shared" si="0"/>
        <v>27</v>
      </c>
      <c r="F7" s="136">
        <f t="shared" si="1"/>
        <v>20116500</v>
      </c>
    </row>
    <row r="8" spans="3:6" x14ac:dyDescent="0.3">
      <c r="C8" s="90" t="s">
        <v>16</v>
      </c>
      <c r="D8" s="91" t="s">
        <v>17</v>
      </c>
      <c r="E8" s="29">
        <f t="shared" si="0"/>
        <v>23</v>
      </c>
      <c r="F8" s="136">
        <f t="shared" si="1"/>
        <v>23723000</v>
      </c>
    </row>
    <row r="9" spans="3:6" x14ac:dyDescent="0.3">
      <c r="C9" s="90" t="s">
        <v>18</v>
      </c>
      <c r="D9" s="91" t="s">
        <v>19</v>
      </c>
      <c r="E9" s="29">
        <f t="shared" si="0"/>
        <v>25</v>
      </c>
      <c r="F9" s="136">
        <f t="shared" si="1"/>
        <v>29181743</v>
      </c>
    </row>
    <row r="10" spans="3:6" x14ac:dyDescent="0.3">
      <c r="C10" s="90" t="s">
        <v>20</v>
      </c>
      <c r="D10" s="91" t="s">
        <v>21</v>
      </c>
      <c r="E10" s="29">
        <f t="shared" si="0"/>
        <v>26</v>
      </c>
      <c r="F10" s="136">
        <f t="shared" si="1"/>
        <v>26133500</v>
      </c>
    </row>
    <row r="11" spans="3:6" x14ac:dyDescent="0.3">
      <c r="C11" s="90" t="s">
        <v>22</v>
      </c>
      <c r="D11" s="91" t="s">
        <v>23</v>
      </c>
      <c r="E11" s="29">
        <f t="shared" si="0"/>
        <v>25</v>
      </c>
      <c r="F11" s="111">
        <f t="shared" si="1"/>
        <v>20779000</v>
      </c>
    </row>
    <row r="12" spans="3:6" x14ac:dyDescent="0.3">
      <c r="C12" s="90" t="s">
        <v>18</v>
      </c>
      <c r="D12" s="91" t="s">
        <v>24</v>
      </c>
      <c r="E12" s="29">
        <f t="shared" si="0"/>
        <v>30</v>
      </c>
      <c r="F12" s="136">
        <f t="shared" si="1"/>
        <v>47321000</v>
      </c>
    </row>
    <row r="13" spans="3:6" x14ac:dyDescent="0.3">
      <c r="C13" s="90" t="s">
        <v>4</v>
      </c>
      <c r="D13" s="91" t="s">
        <v>25</v>
      </c>
      <c r="E13" s="29">
        <f t="shared" si="0"/>
        <v>28</v>
      </c>
      <c r="F13" s="136">
        <f t="shared" si="1"/>
        <v>24875500</v>
      </c>
    </row>
    <row r="14" spans="3:6" x14ac:dyDescent="0.3">
      <c r="C14" s="90" t="s">
        <v>26</v>
      </c>
      <c r="D14" s="91" t="s">
        <v>27</v>
      </c>
      <c r="E14" s="29">
        <f t="shared" si="0"/>
        <v>23</v>
      </c>
      <c r="F14" s="136">
        <f t="shared" si="1"/>
        <v>33126000</v>
      </c>
    </row>
    <row r="15" spans="3:6" x14ac:dyDescent="0.3">
      <c r="C15" s="137" t="s">
        <v>28</v>
      </c>
      <c r="D15" s="138"/>
      <c r="E15" s="93">
        <f>SUM(E2:E14)</f>
        <v>322</v>
      </c>
      <c r="F15" s="93">
        <f>SUM(F2:F14)</f>
        <v>329229816.52999997</v>
      </c>
    </row>
    <row r="17" spans="1:7" ht="19.5" customHeight="1" x14ac:dyDescent="0.3">
      <c r="A17" s="30"/>
      <c r="B17" s="25"/>
      <c r="C17" s="31" t="s">
        <v>29</v>
      </c>
      <c r="D17" s="32" t="s">
        <v>30</v>
      </c>
      <c r="E17" s="78"/>
      <c r="F17" s="79"/>
      <c r="G17" s="28"/>
    </row>
    <row r="18" spans="1:7" s="33" customFormat="1" ht="63.75" customHeight="1" x14ac:dyDescent="0.25">
      <c r="A18" s="80" t="s">
        <v>31</v>
      </c>
      <c r="B18" s="81" t="s">
        <v>32</v>
      </c>
      <c r="C18" s="81" t="s">
        <v>33</v>
      </c>
      <c r="D18" s="82" t="s">
        <v>34</v>
      </c>
      <c r="E18" s="94" t="s">
        <v>28</v>
      </c>
      <c r="F18" s="82" t="s">
        <v>35</v>
      </c>
    </row>
    <row r="19" spans="1:7" hidden="1" x14ac:dyDescent="0.3">
      <c r="A19" s="35" t="s">
        <v>24</v>
      </c>
      <c r="B19" s="108">
        <f>COUNTIF($A$19:A19,A19)</f>
        <v>1</v>
      </c>
      <c r="C19" s="134" t="s">
        <v>36</v>
      </c>
      <c r="D19" s="37">
        <f>8500000+1700000</f>
        <v>10200000</v>
      </c>
      <c r="E19" s="135">
        <v>0</v>
      </c>
      <c r="F19" s="37">
        <f t="shared" ref="F19:F82" si="2">D19-E19</f>
        <v>10200000</v>
      </c>
    </row>
    <row r="20" spans="1:7" hidden="1" x14ac:dyDescent="0.3">
      <c r="A20" s="35" t="s">
        <v>25</v>
      </c>
      <c r="B20" s="108">
        <f>COUNTIF($A$19:A20,A20)</f>
        <v>1</v>
      </c>
      <c r="C20" s="36" t="s">
        <v>37</v>
      </c>
      <c r="D20" s="37">
        <f>8500000+1700000</f>
        <v>10200000</v>
      </c>
      <c r="E20" s="37">
        <f>0+4000000</f>
        <v>4000000</v>
      </c>
      <c r="F20" s="37">
        <f t="shared" si="2"/>
        <v>6200000</v>
      </c>
    </row>
    <row r="21" spans="1:7" hidden="1" x14ac:dyDescent="0.3">
      <c r="A21" s="35" t="s">
        <v>27</v>
      </c>
      <c r="B21" s="108">
        <f>COUNTIF($A$19:A21,A21)</f>
        <v>1</v>
      </c>
      <c r="C21" s="36" t="s">
        <v>38</v>
      </c>
      <c r="D21" s="37">
        <f>8500000+1700000</f>
        <v>10200000</v>
      </c>
      <c r="E21" s="37">
        <f>4500000</f>
        <v>4500000</v>
      </c>
      <c r="F21" s="37">
        <f t="shared" si="2"/>
        <v>5700000</v>
      </c>
    </row>
    <row r="22" spans="1:7" hidden="1" x14ac:dyDescent="0.3">
      <c r="A22" s="35" t="s">
        <v>27</v>
      </c>
      <c r="B22" s="108">
        <f>COUNTIF($A$19:A22,A22)</f>
        <v>2</v>
      </c>
      <c r="C22" s="36" t="s">
        <v>39</v>
      </c>
      <c r="D22" s="37">
        <f>8500000+1700000</f>
        <v>10200000</v>
      </c>
      <c r="E22" s="37">
        <f>5000000</f>
        <v>5000000</v>
      </c>
      <c r="F22" s="37">
        <f t="shared" si="2"/>
        <v>5200000</v>
      </c>
    </row>
    <row r="23" spans="1:7" x14ac:dyDescent="0.3">
      <c r="A23" s="35" t="s">
        <v>13</v>
      </c>
      <c r="B23" s="108">
        <f>COUNTIF($A$19:A23,A23)</f>
        <v>1</v>
      </c>
      <c r="C23" s="36" t="s">
        <v>43</v>
      </c>
      <c r="D23" s="37">
        <f>2*8500000*3/4</f>
        <v>12750000</v>
      </c>
      <c r="E23" s="37">
        <f>4250000+600000+600000+900000+900000+1250000</f>
        <v>8500000</v>
      </c>
      <c r="F23" s="37">
        <f>D23-E23</f>
        <v>4250000</v>
      </c>
    </row>
    <row r="24" spans="1:7" hidden="1" x14ac:dyDescent="0.3">
      <c r="A24" s="35" t="s">
        <v>21</v>
      </c>
      <c r="B24" s="108">
        <f>COUNTIF($A$19:A24,A24)</f>
        <v>1</v>
      </c>
      <c r="C24" s="36" t="s">
        <v>41</v>
      </c>
      <c r="D24" s="37">
        <f>8500000+1700000</f>
        <v>10200000</v>
      </c>
      <c r="E24" s="37">
        <f>0+1000000+1000000+1500000+1387500+1000000</f>
        <v>5887500</v>
      </c>
      <c r="F24" s="37">
        <f>D24-E24</f>
        <v>4312500</v>
      </c>
    </row>
    <row r="25" spans="1:7" hidden="1" x14ac:dyDescent="0.3">
      <c r="A25" s="35" t="s">
        <v>17</v>
      </c>
      <c r="B25" s="108">
        <f>COUNTIF($A$19:A25,A25)</f>
        <v>1</v>
      </c>
      <c r="C25" s="36" t="s">
        <v>42</v>
      </c>
      <c r="D25" s="37">
        <f>8500000+1700000</f>
        <v>10200000</v>
      </c>
      <c r="E25" s="37">
        <f>1640000+2000000+1183000+1078000</f>
        <v>5901000</v>
      </c>
      <c r="F25" s="37">
        <f>D25-E25</f>
        <v>4299000</v>
      </c>
    </row>
    <row r="26" spans="1:7" x14ac:dyDescent="0.3">
      <c r="A26" s="35" t="s">
        <v>13</v>
      </c>
      <c r="B26" s="108">
        <f>COUNTIF($A$19:A26,A26)</f>
        <v>2</v>
      </c>
      <c r="C26" s="36" t="s">
        <v>44</v>
      </c>
      <c r="D26" s="37">
        <f>2*8500000*3/4</f>
        <v>12750000</v>
      </c>
      <c r="E26" s="37">
        <f>1275000+3000000+1200000+1500000+1600000</f>
        <v>8575000</v>
      </c>
      <c r="F26" s="37">
        <f>D26-E26</f>
        <v>4175000</v>
      </c>
    </row>
    <row r="27" spans="1:7" x14ac:dyDescent="0.3">
      <c r="A27" s="35" t="s">
        <v>13</v>
      </c>
      <c r="B27" s="108">
        <f>COUNTIF($A$19:A27,A27)</f>
        <v>3</v>
      </c>
      <c r="C27" s="36" t="s">
        <v>48</v>
      </c>
      <c r="D27" s="37">
        <f>2*8500000*3/4</f>
        <v>12750000</v>
      </c>
      <c r="E27" s="37">
        <f>2275000+1196000+1006000+1923000+2100000+850000</f>
        <v>9350000</v>
      </c>
      <c r="F27" s="37">
        <f>D27-E27</f>
        <v>3400000</v>
      </c>
    </row>
    <row r="28" spans="1:7" hidden="1" x14ac:dyDescent="0.3">
      <c r="A28" s="35" t="s">
        <v>21</v>
      </c>
      <c r="B28" s="108">
        <f>COUNTIF($A$19:A28,A28)</f>
        <v>2</v>
      </c>
      <c r="C28" s="36" t="s">
        <v>45</v>
      </c>
      <c r="D28" s="37">
        <f>8500000+1700000</f>
        <v>10200000</v>
      </c>
      <c r="E28" s="37">
        <f>4250000+2125000</f>
        <v>6375000</v>
      </c>
      <c r="F28" s="71">
        <f>D28-E28</f>
        <v>3825000</v>
      </c>
    </row>
    <row r="29" spans="1:7" hidden="1" x14ac:dyDescent="0.3">
      <c r="A29" s="35" t="s">
        <v>11</v>
      </c>
      <c r="B29" s="108">
        <f>COUNTIF($A$19:A29,A29)</f>
        <v>1</v>
      </c>
      <c r="C29" s="36" t="s">
        <v>46</v>
      </c>
      <c r="D29" s="37">
        <f>2*8500000*3/4</f>
        <v>12750000</v>
      </c>
      <c r="E29" s="37">
        <v>9200000</v>
      </c>
      <c r="F29" s="37">
        <f>D29-E29</f>
        <v>3550000</v>
      </c>
    </row>
    <row r="30" spans="1:7" hidden="1" x14ac:dyDescent="0.3">
      <c r="A30" s="35" t="s">
        <v>19</v>
      </c>
      <c r="B30" s="108">
        <f>COUNTIF($A$19:A30,A30)</f>
        <v>1</v>
      </c>
      <c r="C30" s="36" t="s">
        <v>47</v>
      </c>
      <c r="D30" s="37">
        <f>8500000+1700000</f>
        <v>10200000</v>
      </c>
      <c r="E30" s="37">
        <f>1238000+1800000+1100000+2516000</f>
        <v>6654000</v>
      </c>
      <c r="F30" s="37">
        <f>D30-E30</f>
        <v>3546000</v>
      </c>
    </row>
    <row r="31" spans="1:7" x14ac:dyDescent="0.3">
      <c r="A31" s="35" t="s">
        <v>13</v>
      </c>
      <c r="B31" s="108">
        <f>COUNTIF($A$19:A31,A31)</f>
        <v>4</v>
      </c>
      <c r="C31" s="36" t="s">
        <v>52</v>
      </c>
      <c r="D31" s="37">
        <f>2*8500000*3/4</f>
        <v>12750000</v>
      </c>
      <c r="E31" s="37">
        <v>10500000</v>
      </c>
      <c r="F31" s="37">
        <f>D31-E31</f>
        <v>2250000</v>
      </c>
    </row>
    <row r="32" spans="1:7" hidden="1" x14ac:dyDescent="0.3">
      <c r="A32" s="35" t="s">
        <v>15</v>
      </c>
      <c r="B32" s="108">
        <f>COUNTIF($A$19:A32,A32)</f>
        <v>1</v>
      </c>
      <c r="C32" s="36" t="s">
        <v>49</v>
      </c>
      <c r="D32" s="37">
        <f>8500000+1700000</f>
        <v>10200000</v>
      </c>
      <c r="E32" s="37">
        <f>1300000+1806250+1800000+2000000</f>
        <v>6906250</v>
      </c>
      <c r="F32" s="37">
        <f>D32-E32</f>
        <v>3293750</v>
      </c>
    </row>
    <row r="33" spans="1:6" hidden="1" x14ac:dyDescent="0.3">
      <c r="A33" s="35" t="s">
        <v>15</v>
      </c>
      <c r="B33" s="108">
        <f>COUNTIF($A$19:A33,A33)</f>
        <v>2</v>
      </c>
      <c r="C33" s="36" t="s">
        <v>50</v>
      </c>
      <c r="D33" s="37">
        <f>8500000+1700000</f>
        <v>10200000</v>
      </c>
      <c r="E33" s="37">
        <v>8575000</v>
      </c>
      <c r="F33" s="37">
        <f>D33-E33</f>
        <v>1625000</v>
      </c>
    </row>
    <row r="34" spans="1:6" hidden="1" x14ac:dyDescent="0.3">
      <c r="A34" s="35" t="s">
        <v>24</v>
      </c>
      <c r="B34" s="108">
        <f>COUNTIF($A$19:A34,A34)</f>
        <v>2</v>
      </c>
      <c r="C34" s="36" t="s">
        <v>51</v>
      </c>
      <c r="D34" s="37">
        <f>8500000+1700000</f>
        <v>10200000</v>
      </c>
      <c r="E34" s="37">
        <f>0+1700000+1700000+3500000+850000</f>
        <v>7750000</v>
      </c>
      <c r="F34" s="37">
        <f>D34-E34</f>
        <v>2450000</v>
      </c>
    </row>
    <row r="35" spans="1:6" x14ac:dyDescent="0.3">
      <c r="A35" s="35" t="s">
        <v>13</v>
      </c>
      <c r="B35" s="108">
        <f>COUNTIF($A$19:A35,A35)</f>
        <v>5</v>
      </c>
      <c r="C35" s="36" t="s">
        <v>55</v>
      </c>
      <c r="D35" s="37">
        <f>2*8500000*3/4</f>
        <v>12750000</v>
      </c>
      <c r="E35" s="37">
        <f>4890000+2500000+1110000+2125000</f>
        <v>10625000</v>
      </c>
      <c r="F35" s="37">
        <f>D35-E35</f>
        <v>2125000</v>
      </c>
    </row>
    <row r="36" spans="1:6" x14ac:dyDescent="0.3">
      <c r="A36" s="35" t="s">
        <v>13</v>
      </c>
      <c r="B36" s="108">
        <f>COUNTIF($A$19:A36,A36)</f>
        <v>6</v>
      </c>
      <c r="C36" s="36" t="s">
        <v>57</v>
      </c>
      <c r="D36" s="37">
        <f>2*8500000*3/4</f>
        <v>12750000</v>
      </c>
      <c r="E36" s="37">
        <v>10700000</v>
      </c>
      <c r="F36" s="37">
        <f>D36-E36</f>
        <v>2050000</v>
      </c>
    </row>
    <row r="37" spans="1:6" hidden="1" x14ac:dyDescent="0.3">
      <c r="A37" s="35" t="s">
        <v>27</v>
      </c>
      <c r="B37" s="108">
        <f>COUNTIF($A$19:A37,A37)</f>
        <v>3</v>
      </c>
      <c r="C37" s="36" t="s">
        <v>54</v>
      </c>
      <c r="D37" s="37">
        <f>8500000+1700000</f>
        <v>10200000</v>
      </c>
      <c r="E37" s="37">
        <v>8000000</v>
      </c>
      <c r="F37" s="37">
        <f>D37-E37</f>
        <v>2200000</v>
      </c>
    </row>
    <row r="38" spans="1:6" x14ac:dyDescent="0.3">
      <c r="A38" s="35" t="s">
        <v>13</v>
      </c>
      <c r="B38" s="108">
        <f>COUNTIF($A$19:A38,A38)</f>
        <v>7</v>
      </c>
      <c r="C38" s="36" t="s">
        <v>59</v>
      </c>
      <c r="D38" s="37">
        <f>2*8500000*3/4</f>
        <v>12750000</v>
      </c>
      <c r="E38" s="37">
        <f>3082000+1300000+2200000+1920000+2225000</f>
        <v>10727000</v>
      </c>
      <c r="F38" s="37">
        <f>D38-E38</f>
        <v>2023000</v>
      </c>
    </row>
    <row r="39" spans="1:6" hidden="1" x14ac:dyDescent="0.3">
      <c r="A39" s="35" t="s">
        <v>21</v>
      </c>
      <c r="B39" s="108">
        <f>COUNTIF($A$19:A39,A39)</f>
        <v>3</v>
      </c>
      <c r="C39" s="36" t="s">
        <v>56</v>
      </c>
      <c r="D39" s="37">
        <f>8500000+1700000</f>
        <v>10200000</v>
      </c>
      <c r="E39" s="37">
        <f>0+1200000+1200000+600000+2000000+1800000+1300000</f>
        <v>8100000</v>
      </c>
      <c r="F39" s="37">
        <f>D39-E39</f>
        <v>2100000</v>
      </c>
    </row>
    <row r="40" spans="1:6" x14ac:dyDescent="0.3">
      <c r="A40" s="35" t="s">
        <v>13</v>
      </c>
      <c r="B40" s="108">
        <f>COUNTIF($A$19:A40,A40)</f>
        <v>8</v>
      </c>
      <c r="C40" s="36" t="s">
        <v>60</v>
      </c>
      <c r="D40" s="37">
        <f>2*8500000*3/4</f>
        <v>12750000</v>
      </c>
      <c r="E40" s="37">
        <f>2522000+2500000+3500000+2400000</f>
        <v>10922000</v>
      </c>
      <c r="F40" s="37">
        <f>D40-E40</f>
        <v>1828000</v>
      </c>
    </row>
    <row r="41" spans="1:6" x14ac:dyDescent="0.3">
      <c r="A41" s="35" t="s">
        <v>13</v>
      </c>
      <c r="B41" s="108">
        <f>COUNTIF($A$19:A41,A41)</f>
        <v>9</v>
      </c>
      <c r="C41" s="36" t="s">
        <v>40</v>
      </c>
      <c r="D41" s="37">
        <f>2*8500000*3/4</f>
        <v>12750000</v>
      </c>
      <c r="E41" s="37">
        <v>12000000</v>
      </c>
      <c r="F41" s="37">
        <f>D41-E41</f>
        <v>750000</v>
      </c>
    </row>
    <row r="42" spans="1:6" x14ac:dyDescent="0.3">
      <c r="A42" s="35" t="s">
        <v>13</v>
      </c>
      <c r="B42" s="108">
        <f>COUNTIF($A$19:A42,A42)</f>
        <v>10</v>
      </c>
      <c r="C42" s="36" t="s">
        <v>218</v>
      </c>
      <c r="D42" s="37">
        <f>2*8500000*3/4</f>
        <v>12750000</v>
      </c>
      <c r="E42" s="37">
        <f>4000000+2000000+2500000+2000000+1500000</f>
        <v>12000000</v>
      </c>
      <c r="F42" s="37">
        <f>D42-E42</f>
        <v>750000</v>
      </c>
    </row>
    <row r="43" spans="1:6" x14ac:dyDescent="0.3">
      <c r="A43" s="35" t="s">
        <v>13</v>
      </c>
      <c r="B43" s="108">
        <f>COUNTIF($A$19:A43,A43)</f>
        <v>11</v>
      </c>
      <c r="C43" s="36" t="s">
        <v>58</v>
      </c>
      <c r="D43" s="37">
        <f>2*8500000*3/4</f>
        <v>12750000</v>
      </c>
      <c r="E43" s="37">
        <v>12900000</v>
      </c>
      <c r="F43" s="37">
        <f>D43-E43</f>
        <v>-150000</v>
      </c>
    </row>
    <row r="44" spans="1:6" hidden="1" x14ac:dyDescent="0.3">
      <c r="A44" s="35" t="s">
        <v>21</v>
      </c>
      <c r="B44" s="108">
        <f>COUNTIF($A$19:A44,A44)</f>
        <v>4</v>
      </c>
      <c r="C44" s="36" t="s">
        <v>61</v>
      </c>
      <c r="D44" s="37">
        <f>8500000+1700000</f>
        <v>10200000</v>
      </c>
      <c r="E44" s="37">
        <f>1275000+3600000+3500000</f>
        <v>8375000</v>
      </c>
      <c r="F44" s="37">
        <f>D44-E44</f>
        <v>1825000</v>
      </c>
    </row>
    <row r="45" spans="1:6" hidden="1" x14ac:dyDescent="0.3">
      <c r="A45" s="35" t="s">
        <v>5</v>
      </c>
      <c r="B45" s="108">
        <f>COUNTIF($A$19:A45,A45)</f>
        <v>1</v>
      </c>
      <c r="C45" s="36" t="s">
        <v>62</v>
      </c>
      <c r="D45" s="37">
        <f>8500000+1700000+1700000+1700000+1700000+1700000+1700000</f>
        <v>18700000</v>
      </c>
      <c r="E45" s="37">
        <v>16905000</v>
      </c>
      <c r="F45" s="37">
        <f>D45-E45</f>
        <v>1795000</v>
      </c>
    </row>
    <row r="46" spans="1:6" hidden="1" x14ac:dyDescent="0.3">
      <c r="A46" s="35" t="s">
        <v>24</v>
      </c>
      <c r="B46" s="108">
        <f>COUNTIF($A$19:A46,A46)</f>
        <v>3</v>
      </c>
      <c r="C46" s="36" t="s">
        <v>63</v>
      </c>
      <c r="D46" s="37">
        <f>8500000+1700000</f>
        <v>10200000</v>
      </c>
      <c r="E46" s="37">
        <f>1275000+1805000+1000000+800000+1800000+800000+1000000</f>
        <v>8480000</v>
      </c>
      <c r="F46" s="37">
        <f>D46-E46</f>
        <v>1720000</v>
      </c>
    </row>
    <row r="47" spans="1:6" hidden="1" x14ac:dyDescent="0.3">
      <c r="A47" s="35" t="s">
        <v>24</v>
      </c>
      <c r="B47" s="108">
        <f>COUNTIF($A$19:A47,A47)</f>
        <v>4</v>
      </c>
      <c r="C47" s="36" t="s">
        <v>64</v>
      </c>
      <c r="D47" s="37">
        <f>8500000+1700000</f>
        <v>10200000</v>
      </c>
      <c r="E47" s="37">
        <f>0+1300000+1770000+1600000+1800000+2020000</f>
        <v>8490000</v>
      </c>
      <c r="F47" s="37">
        <f>D47-E47</f>
        <v>1710000</v>
      </c>
    </row>
    <row r="48" spans="1:6" hidden="1" x14ac:dyDescent="0.3">
      <c r="A48" s="35" t="s">
        <v>19</v>
      </c>
      <c r="B48" s="108">
        <f>COUNTIF($A$19:A48,A48)</f>
        <v>2</v>
      </c>
      <c r="C48" s="36" t="s">
        <v>65</v>
      </c>
      <c r="D48" s="37">
        <f>8500000+1700000</f>
        <v>10200000</v>
      </c>
      <c r="E48" s="37">
        <v>8494000</v>
      </c>
      <c r="F48" s="37">
        <f>D48-E48</f>
        <v>1706000</v>
      </c>
    </row>
    <row r="49" spans="1:6" hidden="1" x14ac:dyDescent="0.3">
      <c r="A49" s="35" t="s">
        <v>15</v>
      </c>
      <c r="B49" s="108">
        <f>COUNTIF($A$19:A49,A49)</f>
        <v>3</v>
      </c>
      <c r="C49" s="36" t="s">
        <v>66</v>
      </c>
      <c r="D49" s="37">
        <f>8500000+1700000</f>
        <v>10200000</v>
      </c>
      <c r="E49" s="37">
        <v>10199250</v>
      </c>
      <c r="F49" s="37">
        <f>D49-E49</f>
        <v>750</v>
      </c>
    </row>
    <row r="50" spans="1:6" hidden="1" x14ac:dyDescent="0.3">
      <c r="A50" s="35" t="s">
        <v>17</v>
      </c>
      <c r="B50" s="108">
        <f>COUNTIF($A$19:A50,A50)</f>
        <v>2</v>
      </c>
      <c r="C50" s="36" t="s">
        <v>67</v>
      </c>
      <c r="D50" s="37">
        <f>8500000+1700000</f>
        <v>10200000</v>
      </c>
      <c r="E50" s="37">
        <f>0+1275000+1807000+1810000+3608000</f>
        <v>8500000</v>
      </c>
      <c r="F50" s="37">
        <f>D50-E50</f>
        <v>1700000</v>
      </c>
    </row>
    <row r="51" spans="1:6" hidden="1" x14ac:dyDescent="0.3">
      <c r="A51" s="35" t="s">
        <v>5</v>
      </c>
      <c r="B51" s="108">
        <f>COUNTIF($A$19:A51,A51)</f>
        <v>2</v>
      </c>
      <c r="C51" s="36" t="s">
        <v>68</v>
      </c>
      <c r="D51" s="37">
        <f>8500000+1700000+1700000+1700000+1700000+1700000+1700000</f>
        <v>18700000</v>
      </c>
      <c r="E51" s="37">
        <v>19500000</v>
      </c>
      <c r="F51" s="37">
        <f>D51-E51</f>
        <v>-800000</v>
      </c>
    </row>
    <row r="52" spans="1:6" hidden="1" x14ac:dyDescent="0.3">
      <c r="A52" s="35" t="s">
        <v>25</v>
      </c>
      <c r="B52" s="108">
        <f>COUNTIF($A$19:A52,A52)</f>
        <v>2</v>
      </c>
      <c r="C52" s="36" t="s">
        <v>69</v>
      </c>
      <c r="D52" s="37">
        <f>8500000+1700000</f>
        <v>10200000</v>
      </c>
      <c r="E52" s="37">
        <v>9360000</v>
      </c>
      <c r="F52" s="37">
        <f>D52-E52</f>
        <v>840000</v>
      </c>
    </row>
    <row r="53" spans="1:6" hidden="1" x14ac:dyDescent="0.3">
      <c r="A53" s="35" t="s">
        <v>24</v>
      </c>
      <c r="B53" s="108">
        <f>COUNTIF($A$19:A53,A53)</f>
        <v>5</v>
      </c>
      <c r="C53" s="36" t="s">
        <v>70</v>
      </c>
      <c r="D53" s="37">
        <f>8500000+1700000</f>
        <v>10200000</v>
      </c>
      <c r="E53" s="37">
        <f>3500000+5000000</f>
        <v>8500000</v>
      </c>
      <c r="F53" s="37">
        <f>D53-E53</f>
        <v>1700000</v>
      </c>
    </row>
    <row r="54" spans="1:6" hidden="1" x14ac:dyDescent="0.3">
      <c r="A54" s="35" t="s">
        <v>15</v>
      </c>
      <c r="B54" s="108">
        <f>COUNTIF($A$19:A54,A54)</f>
        <v>4</v>
      </c>
      <c r="C54" s="36" t="s">
        <v>71</v>
      </c>
      <c r="D54" s="37">
        <f>8500000+1700000</f>
        <v>10200000</v>
      </c>
      <c r="E54" s="37">
        <f>0+4700000+3800000</f>
        <v>8500000</v>
      </c>
      <c r="F54" s="37">
        <f>D54-E54</f>
        <v>1700000</v>
      </c>
    </row>
    <row r="55" spans="1:6" hidden="1" x14ac:dyDescent="0.3">
      <c r="A55" s="35" t="s">
        <v>9</v>
      </c>
      <c r="B55" s="108">
        <f>COUNTIF($A$19:A55,A55)</f>
        <v>1</v>
      </c>
      <c r="C55" s="36" t="s">
        <v>72</v>
      </c>
      <c r="D55" s="37">
        <f>8500000+1700000+1700000+1700000+1700000+1700000+1700000</f>
        <v>18700000</v>
      </c>
      <c r="E55" s="37">
        <f>8500000+1800000+3500000+3200000</f>
        <v>17000000</v>
      </c>
      <c r="F55" s="37">
        <f>D55-E55</f>
        <v>1700000</v>
      </c>
    </row>
    <row r="56" spans="1:6" hidden="1" x14ac:dyDescent="0.3">
      <c r="A56" s="35" t="s">
        <v>25</v>
      </c>
      <c r="B56" s="108">
        <f>COUNTIF($A$19:A56,A56)</f>
        <v>3</v>
      </c>
      <c r="C56" s="36" t="s">
        <v>73</v>
      </c>
      <c r="D56" s="37">
        <f>8500000+1700000</f>
        <v>10200000</v>
      </c>
      <c r="E56" s="37">
        <f>1275000+1807000+1806000+2100000+1507000+5000</f>
        <v>8500000</v>
      </c>
      <c r="F56" s="37">
        <f>D56-E56</f>
        <v>1700000</v>
      </c>
    </row>
    <row r="57" spans="1:6" hidden="1" x14ac:dyDescent="0.3">
      <c r="A57" s="35" t="s">
        <v>23</v>
      </c>
      <c r="B57" s="108">
        <f>COUNTIF($A$19:A57,A57)</f>
        <v>1</v>
      </c>
      <c r="C57" s="36" t="s">
        <v>74</v>
      </c>
      <c r="D57" s="37">
        <f>8500000+1700000</f>
        <v>10200000</v>
      </c>
      <c r="E57" s="37">
        <f>1900000+1900000+1090000+3510000+100000</f>
        <v>8500000</v>
      </c>
      <c r="F57" s="37">
        <f>D57-E57</f>
        <v>1700000</v>
      </c>
    </row>
    <row r="58" spans="1:6" hidden="1" x14ac:dyDescent="0.3">
      <c r="A58" s="35" t="s">
        <v>9</v>
      </c>
      <c r="B58" s="108">
        <f>COUNTIF($A$19:A58,A58)</f>
        <v>2</v>
      </c>
      <c r="C58" s="36" t="s">
        <v>75</v>
      </c>
      <c r="D58" s="37">
        <f>8500000+1700000+1700000+1700000+1700000+1700000+1700000</f>
        <v>18700000</v>
      </c>
      <c r="E58" s="37">
        <v>17000000</v>
      </c>
      <c r="F58" s="37">
        <f>D58-E58</f>
        <v>1700000</v>
      </c>
    </row>
    <row r="59" spans="1:6" hidden="1" x14ac:dyDescent="0.3">
      <c r="A59" s="35" t="s">
        <v>19</v>
      </c>
      <c r="B59" s="108">
        <f>COUNTIF($A$19:A59,A59)</f>
        <v>3</v>
      </c>
      <c r="C59" s="36" t="s">
        <v>76</v>
      </c>
      <c r="D59" s="37">
        <f>8500000+1700000</f>
        <v>10200000</v>
      </c>
      <c r="E59" s="37">
        <f>2125000+850000+500000+800000+800000+800000+800000+1500000+325000</f>
        <v>8500000</v>
      </c>
      <c r="F59" s="37">
        <f>D59-E59</f>
        <v>1700000</v>
      </c>
    </row>
    <row r="60" spans="1:6" hidden="1" x14ac:dyDescent="0.3">
      <c r="A60" s="35" t="s">
        <v>24</v>
      </c>
      <c r="B60" s="108">
        <f>COUNTIF($A$19:A60,A60)</f>
        <v>6</v>
      </c>
      <c r="C60" s="36" t="s">
        <v>77</v>
      </c>
      <c r="D60" s="37">
        <f>8500000+1700000</f>
        <v>10200000</v>
      </c>
      <c r="E60" s="37">
        <f>2000000+1000000+1000000+1500000+3000000</f>
        <v>8500000</v>
      </c>
      <c r="F60" s="37">
        <f>D60-E60</f>
        <v>1700000</v>
      </c>
    </row>
    <row r="61" spans="1:6" hidden="1" x14ac:dyDescent="0.3">
      <c r="A61" s="35" t="s">
        <v>24</v>
      </c>
      <c r="B61" s="108">
        <f>COUNTIF($A$19:A61,A61)</f>
        <v>7</v>
      </c>
      <c r="C61" s="36" t="s">
        <v>78</v>
      </c>
      <c r="D61" s="37">
        <f>8500000+1700000</f>
        <v>10200000</v>
      </c>
      <c r="E61" s="37">
        <f>0+1275000+1810000+1810000+1800000+1805000</f>
        <v>8500000</v>
      </c>
      <c r="F61" s="37">
        <f>D61-E61</f>
        <v>1700000</v>
      </c>
    </row>
    <row r="62" spans="1:6" hidden="1" x14ac:dyDescent="0.3">
      <c r="A62" s="35" t="s">
        <v>15</v>
      </c>
      <c r="B62" s="108">
        <f>COUNTIF($A$19:A62,A62)</f>
        <v>5</v>
      </c>
      <c r="C62" s="36" t="s">
        <v>79</v>
      </c>
      <c r="D62" s="37">
        <f>8500000+1700000</f>
        <v>10200000</v>
      </c>
      <c r="E62" s="37">
        <f>2100000+2000000+1100000+1500000+1800000</f>
        <v>8500000</v>
      </c>
      <c r="F62" s="37">
        <f>D62-E62</f>
        <v>1700000</v>
      </c>
    </row>
    <row r="63" spans="1:6" hidden="1" x14ac:dyDescent="0.3">
      <c r="A63" s="35" t="s">
        <v>23</v>
      </c>
      <c r="B63" s="108">
        <f>COUNTIF($A$19:A63,A63)</f>
        <v>2</v>
      </c>
      <c r="C63" s="36" t="s">
        <v>80</v>
      </c>
      <c r="D63" s="37">
        <f>8500000+1700000</f>
        <v>10200000</v>
      </c>
      <c r="E63" s="37">
        <f>0+1200000+1890000+5410000</f>
        <v>8500000</v>
      </c>
      <c r="F63" s="37">
        <f>D63-E63</f>
        <v>1700000</v>
      </c>
    </row>
    <row r="64" spans="1:6" hidden="1" x14ac:dyDescent="0.3">
      <c r="A64" s="35" t="s">
        <v>7</v>
      </c>
      <c r="B64" s="108">
        <f>COUNTIF($A$19:A64,A64)</f>
        <v>1</v>
      </c>
      <c r="C64" s="36" t="s">
        <v>81</v>
      </c>
      <c r="D64" s="37">
        <f>8500000+1700000+1700000+1700000+1700000+1700000+1700000</f>
        <v>18700000</v>
      </c>
      <c r="E64" s="37">
        <f>8500000+1200000+2000000+1500000+1000000+2000000+800000</f>
        <v>17000000</v>
      </c>
      <c r="F64" s="37">
        <f>D64-E64</f>
        <v>1700000</v>
      </c>
    </row>
    <row r="65" spans="1:6" hidden="1" x14ac:dyDescent="0.3">
      <c r="A65" s="35" t="s">
        <v>9</v>
      </c>
      <c r="B65" s="108">
        <f>COUNTIF($A$19:A65,A65)</f>
        <v>3</v>
      </c>
      <c r="C65" s="36" t="s">
        <v>82</v>
      </c>
      <c r="D65" s="37">
        <f>8500000+1700000+1700000+1700000+1700000+1700000+1700000</f>
        <v>18700000</v>
      </c>
      <c r="E65" s="37">
        <f>8604000+1560000+1700000+1735000+1700000+1701000</f>
        <v>17000000</v>
      </c>
      <c r="F65" s="37">
        <f>D65-E65</f>
        <v>1700000</v>
      </c>
    </row>
    <row r="66" spans="1:6" hidden="1" x14ac:dyDescent="0.3">
      <c r="A66" s="35" t="s">
        <v>19</v>
      </c>
      <c r="B66" s="108">
        <f>COUNTIF($A$19:A66,A66)</f>
        <v>4</v>
      </c>
      <c r="C66" s="36" t="s">
        <v>83</v>
      </c>
      <c r="D66" s="37">
        <f>8500000+1700000</f>
        <v>10200000</v>
      </c>
      <c r="E66" s="37">
        <f>2000000+1400000+2000000+1200000+1900000</f>
        <v>8500000</v>
      </c>
      <c r="F66" s="37">
        <f>D66-E66</f>
        <v>1700000</v>
      </c>
    </row>
    <row r="67" spans="1:6" hidden="1" x14ac:dyDescent="0.3">
      <c r="A67" s="35" t="s">
        <v>17</v>
      </c>
      <c r="B67" s="108">
        <f>COUNTIF($A$19:A67,A67)</f>
        <v>3</v>
      </c>
      <c r="C67" s="36" t="s">
        <v>84</v>
      </c>
      <c r="D67" s="37">
        <f>8500000+1700000</f>
        <v>10200000</v>
      </c>
      <c r="E67" s="37">
        <f>1700000+1700000+1800000+3300000</f>
        <v>8500000</v>
      </c>
      <c r="F67" s="37">
        <f>D67-E67</f>
        <v>1700000</v>
      </c>
    </row>
    <row r="68" spans="1:6" hidden="1" x14ac:dyDescent="0.3">
      <c r="A68" s="35" t="s">
        <v>9</v>
      </c>
      <c r="B68" s="108">
        <f>COUNTIF($A$19:A68,A68)</f>
        <v>4</v>
      </c>
      <c r="C68" s="36" t="s">
        <v>85</v>
      </c>
      <c r="D68" s="37">
        <f>8500000+1700000+1700000+1700000+1700000+1700000+1700000</f>
        <v>18700000</v>
      </c>
      <c r="E68" s="37">
        <f>8500000+1500000+2000000+1000000+1500000+2500000</f>
        <v>17000000</v>
      </c>
      <c r="F68" s="37">
        <f>D68-E68</f>
        <v>1700000</v>
      </c>
    </row>
    <row r="69" spans="1:6" hidden="1" x14ac:dyDescent="0.3">
      <c r="A69" s="35" t="s">
        <v>27</v>
      </c>
      <c r="B69" s="108">
        <f>COUNTIF($A$19:A69,A69)</f>
        <v>4</v>
      </c>
      <c r="C69" s="36" t="s">
        <v>86</v>
      </c>
      <c r="D69" s="37">
        <f>8500000+1700000</f>
        <v>10200000</v>
      </c>
      <c r="E69" s="37">
        <f>1300000+3541000+3659000</f>
        <v>8500000</v>
      </c>
      <c r="F69" s="37">
        <f>D69-E69</f>
        <v>1700000</v>
      </c>
    </row>
    <row r="70" spans="1:6" hidden="1" x14ac:dyDescent="0.3">
      <c r="A70" s="35" t="s">
        <v>25</v>
      </c>
      <c r="B70" s="108">
        <f>COUNTIF($A$19:A70,A70)</f>
        <v>4</v>
      </c>
      <c r="C70" s="36" t="s">
        <v>87</v>
      </c>
      <c r="D70" s="37">
        <f>8500000+1700000</f>
        <v>10200000</v>
      </c>
      <c r="E70" s="37">
        <v>12031000</v>
      </c>
      <c r="F70" s="37">
        <f>D70-E70</f>
        <v>-1831000</v>
      </c>
    </row>
    <row r="71" spans="1:6" hidden="1" x14ac:dyDescent="0.3">
      <c r="A71" s="35" t="s">
        <v>9</v>
      </c>
      <c r="B71" s="108">
        <f>COUNTIF($A$19:A71,A71)</f>
        <v>5</v>
      </c>
      <c r="C71" s="36" t="s">
        <v>88</v>
      </c>
      <c r="D71" s="37">
        <f>8500000+1700000+1700000+1700000+1700000+1700000+1700000</f>
        <v>18700000</v>
      </c>
      <c r="E71" s="37">
        <f>8500000+1700000+1700000+1200000+500000+1700000+1700000</f>
        <v>17000000</v>
      </c>
      <c r="F71" s="37">
        <f>D71-E71</f>
        <v>1700000</v>
      </c>
    </row>
    <row r="72" spans="1:6" hidden="1" x14ac:dyDescent="0.3">
      <c r="A72" s="35" t="s">
        <v>7</v>
      </c>
      <c r="B72" s="108">
        <f>COUNTIF($A$19:A72,A72)</f>
        <v>2</v>
      </c>
      <c r="C72" s="36" t="s">
        <v>89</v>
      </c>
      <c r="D72" s="37">
        <f>8500000+1700000+1700000+1700000+1700000+1700000+1700000</f>
        <v>18700000</v>
      </c>
      <c r="E72" s="42">
        <f>8500000+4000000+1500000+1300000+1700000</f>
        <v>17000000</v>
      </c>
      <c r="F72" s="37">
        <f>D72-E72</f>
        <v>1700000</v>
      </c>
    </row>
    <row r="73" spans="1:6" hidden="1" x14ac:dyDescent="0.3">
      <c r="A73" s="35" t="s">
        <v>7</v>
      </c>
      <c r="B73" s="108">
        <f>COUNTIF($A$19:A73,A73)</f>
        <v>3</v>
      </c>
      <c r="C73" s="36" t="s">
        <v>90</v>
      </c>
      <c r="D73" s="37">
        <f>8500000+1700000+1700000+1700000+1700000+1700000+1700000</f>
        <v>18700000</v>
      </c>
      <c r="E73" s="37">
        <f>11500000+2100000+1700000+1700000</f>
        <v>17000000</v>
      </c>
      <c r="F73" s="37">
        <f>D73-E73</f>
        <v>1700000</v>
      </c>
    </row>
    <row r="74" spans="1:6" hidden="1" x14ac:dyDescent="0.3">
      <c r="A74" s="35" t="s">
        <v>5</v>
      </c>
      <c r="B74" s="108">
        <f>COUNTIF($A$19:A74,A74)</f>
        <v>3</v>
      </c>
      <c r="C74" s="36" t="s">
        <v>91</v>
      </c>
      <c r="D74" s="37">
        <f>8500000+1700000+1700000+1700000+1700000+1700000+1700000</f>
        <v>18700000</v>
      </c>
      <c r="E74" s="37">
        <f>8500000+1000000+2370000+1200000+800000+3000000+130000</f>
        <v>17000000</v>
      </c>
      <c r="F74" s="37">
        <f>D74-E74</f>
        <v>1700000</v>
      </c>
    </row>
    <row r="75" spans="1:6" hidden="1" x14ac:dyDescent="0.3">
      <c r="A75" s="35" t="s">
        <v>24</v>
      </c>
      <c r="B75" s="108">
        <f>COUNTIF($A$19:A75,A75)</f>
        <v>8</v>
      </c>
      <c r="C75" s="36" t="s">
        <v>92</v>
      </c>
      <c r="D75" s="37">
        <f>8500000+1700000</f>
        <v>10200000</v>
      </c>
      <c r="E75" s="37">
        <f>2400000+2600000+3500000</f>
        <v>8500000</v>
      </c>
      <c r="F75" s="37">
        <f>D75-E75</f>
        <v>1700000</v>
      </c>
    </row>
    <row r="76" spans="1:6" hidden="1" x14ac:dyDescent="0.3">
      <c r="A76" s="35" t="s">
        <v>7</v>
      </c>
      <c r="B76" s="108">
        <f>COUNTIF($A$19:A76,A76)</f>
        <v>4</v>
      </c>
      <c r="C76" s="36" t="s">
        <v>93</v>
      </c>
      <c r="D76" s="37">
        <f>8500000+1700000+1700000+1700000+1700000+1700000+1700000</f>
        <v>18700000</v>
      </c>
      <c r="E76" s="37">
        <f>8506000+1700000+2300000+1100000+1000000+2394000</f>
        <v>17000000</v>
      </c>
      <c r="F76" s="37">
        <f>D76-E76</f>
        <v>1700000</v>
      </c>
    </row>
    <row r="77" spans="1:6" hidden="1" x14ac:dyDescent="0.3">
      <c r="A77" s="35" t="s">
        <v>21</v>
      </c>
      <c r="B77" s="108">
        <f>COUNTIF($A$19:A77,A77)</f>
        <v>5</v>
      </c>
      <c r="C77" s="36" t="s">
        <v>94</v>
      </c>
      <c r="D77" s="37">
        <f>8500000+1700000</f>
        <v>10200000</v>
      </c>
      <c r="E77" s="37">
        <v>8500000</v>
      </c>
      <c r="F77" s="37">
        <f>D77-E77</f>
        <v>1700000</v>
      </c>
    </row>
    <row r="78" spans="1:6" hidden="1" x14ac:dyDescent="0.3">
      <c r="A78" s="35" t="s">
        <v>7</v>
      </c>
      <c r="B78" s="108">
        <f>COUNTIF($A$19:A78,A78)</f>
        <v>5</v>
      </c>
      <c r="C78" s="36" t="s">
        <v>95</v>
      </c>
      <c r="D78" s="37">
        <f>8500000+1700000+1700000+1700000+1700000+1700000+1700000</f>
        <v>18700000</v>
      </c>
      <c r="E78" s="37">
        <f>10200000+1700000+1700000+1700000+1700000</f>
        <v>17000000</v>
      </c>
      <c r="F78" s="37">
        <f>D78-E78</f>
        <v>1700000</v>
      </c>
    </row>
    <row r="79" spans="1:6" hidden="1" x14ac:dyDescent="0.3">
      <c r="A79" s="35" t="s">
        <v>17</v>
      </c>
      <c r="B79" s="108">
        <f>COUNTIF($A$19:A79,A79)</f>
        <v>4</v>
      </c>
      <c r="C79" s="36" t="s">
        <v>96</v>
      </c>
      <c r="D79" s="37">
        <f>8500000+1700000</f>
        <v>10200000</v>
      </c>
      <c r="E79" s="37">
        <f>2000000+2000000+1000000+1000000+2500000</f>
        <v>8500000</v>
      </c>
      <c r="F79" s="37">
        <f>D79-E79</f>
        <v>1700000</v>
      </c>
    </row>
    <row r="80" spans="1:6" hidden="1" x14ac:dyDescent="0.3">
      <c r="A80" s="35" t="s">
        <v>7</v>
      </c>
      <c r="B80" s="108">
        <f>COUNTIF($A$19:A80,A80)</f>
        <v>6</v>
      </c>
      <c r="C80" s="36" t="s">
        <v>97</v>
      </c>
      <c r="D80" s="37">
        <f>8500000+1700000+1700000+1700000+1700000+1700000+1700000</f>
        <v>18700000</v>
      </c>
      <c r="E80" s="37">
        <f>8500000+1000000+1000000+2000000+2000000+2000000+500000</f>
        <v>17000000</v>
      </c>
      <c r="F80" s="37">
        <f>D80-E80</f>
        <v>1700000</v>
      </c>
    </row>
    <row r="81" spans="1:6" hidden="1" x14ac:dyDescent="0.3">
      <c r="A81" s="35" t="s">
        <v>23</v>
      </c>
      <c r="B81" s="108">
        <f>COUNTIF($A$19:A81,A81)</f>
        <v>3</v>
      </c>
      <c r="C81" s="36" t="s">
        <v>98</v>
      </c>
      <c r="D81" s="37">
        <f>8500000+1700000</f>
        <v>10200000</v>
      </c>
      <c r="E81" s="37">
        <f>1300000+2100000+3000000+2100000</f>
        <v>8500000</v>
      </c>
      <c r="F81" s="37">
        <f>D81-E81</f>
        <v>1700000</v>
      </c>
    </row>
    <row r="82" spans="1:6" hidden="1" x14ac:dyDescent="0.3">
      <c r="A82" s="35" t="s">
        <v>21</v>
      </c>
      <c r="B82" s="108">
        <f>COUNTIF($A$19:A82,A82)</f>
        <v>6</v>
      </c>
      <c r="C82" s="36" t="s">
        <v>99</v>
      </c>
      <c r="D82" s="37">
        <f>8500000+1700000</f>
        <v>10200000</v>
      </c>
      <c r="E82" s="37">
        <f>1275000+1810000+1810000+1850000+1755000</f>
        <v>8500000</v>
      </c>
      <c r="F82" s="37">
        <f>D82-E82</f>
        <v>1700000</v>
      </c>
    </row>
    <row r="83" spans="1:6" hidden="1" x14ac:dyDescent="0.3">
      <c r="A83" s="35" t="s">
        <v>9</v>
      </c>
      <c r="B83" s="108">
        <f>COUNTIF($A$19:A83,A83)</f>
        <v>6</v>
      </c>
      <c r="C83" s="36" t="s">
        <v>100</v>
      </c>
      <c r="D83" s="37">
        <f>8500000+1700000+1700000+1700000+1700000+1700000+1700000</f>
        <v>18700000</v>
      </c>
      <c r="E83" s="37">
        <f>8500000+8500000</f>
        <v>17000000</v>
      </c>
      <c r="F83" s="37">
        <f>D83-E83</f>
        <v>1700000</v>
      </c>
    </row>
    <row r="84" spans="1:6" hidden="1" x14ac:dyDescent="0.3">
      <c r="A84" s="35" t="s">
        <v>17</v>
      </c>
      <c r="B84" s="108">
        <f>COUNTIF($A$19:A84,A84)</f>
        <v>5</v>
      </c>
      <c r="C84" s="36" t="s">
        <v>101</v>
      </c>
      <c r="D84" s="37">
        <f>8500000+1700000</f>
        <v>10200000</v>
      </c>
      <c r="E84" s="37">
        <f>3000000+1500000+1500000+1500000+1000000</f>
        <v>8500000</v>
      </c>
      <c r="F84" s="37">
        <f>D84-E84</f>
        <v>1700000</v>
      </c>
    </row>
    <row r="85" spans="1:6" hidden="1" x14ac:dyDescent="0.3">
      <c r="A85" s="35" t="s">
        <v>19</v>
      </c>
      <c r="B85" s="108">
        <f>COUNTIF($A$19:A85,A85)</f>
        <v>5</v>
      </c>
      <c r="C85" s="36" t="s">
        <v>102</v>
      </c>
      <c r="D85" s="37">
        <f>8500000+1700000</f>
        <v>10200000</v>
      </c>
      <c r="E85" s="37">
        <f>1300000+2378000+2000000+1240000+1582000</f>
        <v>8500000</v>
      </c>
      <c r="F85" s="37">
        <f>D85-E85</f>
        <v>1700000</v>
      </c>
    </row>
    <row r="86" spans="1:6" hidden="1" x14ac:dyDescent="0.3">
      <c r="A86" s="35" t="s">
        <v>23</v>
      </c>
      <c r="B86" s="108">
        <f>COUNTIF($A$19:A86,A86)</f>
        <v>4</v>
      </c>
      <c r="C86" s="36" t="s">
        <v>103</v>
      </c>
      <c r="D86" s="37">
        <f>8500000+1700000</f>
        <v>10200000</v>
      </c>
      <c r="E86" s="37">
        <f>1238000+1300000+2300000+3662000</f>
        <v>8500000</v>
      </c>
      <c r="F86" s="37">
        <f>D86-E86</f>
        <v>1700000</v>
      </c>
    </row>
    <row r="87" spans="1:6" hidden="1" x14ac:dyDescent="0.3">
      <c r="A87" s="35" t="s">
        <v>9</v>
      </c>
      <c r="B87" s="108">
        <f>COUNTIF($A$19:A87,A87)</f>
        <v>7</v>
      </c>
      <c r="C87" s="36" t="s">
        <v>104</v>
      </c>
      <c r="D87" s="37">
        <f>8500000+1700000+1700000+1700000+1700000+1700000+1700000</f>
        <v>18700000</v>
      </c>
      <c r="E87" s="37">
        <f>8500000+1000000+1000000+1000000+1700000+1750000+2050000</f>
        <v>17000000</v>
      </c>
      <c r="F87" s="37">
        <f>D87-E87</f>
        <v>1700000</v>
      </c>
    </row>
    <row r="88" spans="1:6" hidden="1" x14ac:dyDescent="0.3">
      <c r="A88" s="35" t="s">
        <v>19</v>
      </c>
      <c r="B88" s="108">
        <f>COUNTIF($A$19:A88,A88)</f>
        <v>6</v>
      </c>
      <c r="C88" s="36" t="s">
        <v>105</v>
      </c>
      <c r="D88" s="37">
        <f>8500000+1700000</f>
        <v>10200000</v>
      </c>
      <c r="E88" s="37">
        <f>4000000+1000000+1000000+2500000</f>
        <v>8500000</v>
      </c>
      <c r="F88" s="37">
        <f>D88-E88</f>
        <v>1700000</v>
      </c>
    </row>
    <row r="89" spans="1:6" hidden="1" x14ac:dyDescent="0.3">
      <c r="A89" s="35" t="s">
        <v>27</v>
      </c>
      <c r="B89" s="108">
        <f>COUNTIF($A$19:A89,A89)</f>
        <v>5</v>
      </c>
      <c r="C89" s="36" t="s">
        <v>106</v>
      </c>
      <c r="D89" s="37">
        <f>8500000+1700000</f>
        <v>10200000</v>
      </c>
      <c r="E89" s="37">
        <f>0+4800000+3700000</f>
        <v>8500000</v>
      </c>
      <c r="F89" s="37">
        <f>D89-E89</f>
        <v>1700000</v>
      </c>
    </row>
    <row r="90" spans="1:6" hidden="1" x14ac:dyDescent="0.3">
      <c r="A90" s="35" t="s">
        <v>15</v>
      </c>
      <c r="B90" s="108">
        <f>COUNTIF($A$19:A90,A90)</f>
        <v>6</v>
      </c>
      <c r="C90" s="36" t="s">
        <v>107</v>
      </c>
      <c r="D90" s="37">
        <f>8500000+1700000</f>
        <v>10200000</v>
      </c>
      <c r="E90" s="37">
        <f>2800000+1500000+1000000+1000000+1100000+1100000</f>
        <v>8500000</v>
      </c>
      <c r="F90" s="37">
        <f>D90-E90</f>
        <v>1700000</v>
      </c>
    </row>
    <row r="91" spans="1:6" hidden="1" x14ac:dyDescent="0.3">
      <c r="A91" s="35" t="s">
        <v>24</v>
      </c>
      <c r="B91" s="108">
        <f>COUNTIF($A$19:A91,A91)</f>
        <v>9</v>
      </c>
      <c r="C91" s="36" t="s">
        <v>108</v>
      </c>
      <c r="D91" s="37">
        <f>8500000+1700000</f>
        <v>10200000</v>
      </c>
      <c r="E91" s="37">
        <f>4250000+600000+1000000+2650000</f>
        <v>8500000</v>
      </c>
      <c r="F91" s="37">
        <f>D91-E91</f>
        <v>1700000</v>
      </c>
    </row>
    <row r="92" spans="1:6" hidden="1" x14ac:dyDescent="0.3">
      <c r="A92" s="35" t="s">
        <v>5</v>
      </c>
      <c r="B92" s="108">
        <f>COUNTIF($A$19:A92,A92)</f>
        <v>4</v>
      </c>
      <c r="C92" s="36" t="s">
        <v>109</v>
      </c>
      <c r="D92" s="37">
        <f>8500000+1700000+1700000+1700000+1700000+1700000+1700000</f>
        <v>18700000</v>
      </c>
      <c r="E92" s="37">
        <f>8500000+1700000+1700000+1700000+1700000+1700000</f>
        <v>17000000</v>
      </c>
      <c r="F92" s="37">
        <f>D92-E92</f>
        <v>1700000</v>
      </c>
    </row>
    <row r="93" spans="1:6" hidden="1" x14ac:dyDescent="0.3">
      <c r="A93" s="35" t="s">
        <v>7</v>
      </c>
      <c r="B93" s="108">
        <f>COUNTIF($A$19:A93,A93)</f>
        <v>7</v>
      </c>
      <c r="C93" s="36" t="s">
        <v>110</v>
      </c>
      <c r="D93" s="37">
        <f>8500000+1700000+1700000+1700000+1700000+1700000+1700000</f>
        <v>18700000</v>
      </c>
      <c r="E93" s="37">
        <f>8500000+1700000+1700000+700000+1000000+1700000+1700000</f>
        <v>17000000</v>
      </c>
      <c r="F93" s="37">
        <f>D93-E93</f>
        <v>1700000</v>
      </c>
    </row>
    <row r="94" spans="1:6" hidden="1" x14ac:dyDescent="0.3">
      <c r="A94" s="35" t="s">
        <v>7</v>
      </c>
      <c r="B94" s="108">
        <f>COUNTIF($A$19:A94,A94)</f>
        <v>8</v>
      </c>
      <c r="C94" s="36" t="s">
        <v>111</v>
      </c>
      <c r="D94" s="37">
        <f>8500000+1700000+1700000+1700000+1700000+1700000+1700000</f>
        <v>18700000</v>
      </c>
      <c r="E94" s="37">
        <f>8500000+8500000</f>
        <v>17000000</v>
      </c>
      <c r="F94" s="37">
        <f>D94-E94</f>
        <v>1700000</v>
      </c>
    </row>
    <row r="95" spans="1:6" hidden="1" x14ac:dyDescent="0.3">
      <c r="A95" s="35" t="s">
        <v>5</v>
      </c>
      <c r="B95" s="108">
        <f>COUNTIF($A$19:A95,A95)</f>
        <v>5</v>
      </c>
      <c r="C95" s="36" t="s">
        <v>112</v>
      </c>
      <c r="D95" s="37">
        <f>8500000+1700000+1700000+1700000+1700000+1700000+1700000</f>
        <v>18700000</v>
      </c>
      <c r="E95" s="37">
        <f>8500000+1700000+5100000+1700000</f>
        <v>17000000</v>
      </c>
      <c r="F95" s="37">
        <f>D95-E95</f>
        <v>1700000</v>
      </c>
    </row>
    <row r="96" spans="1:6" hidden="1" x14ac:dyDescent="0.3">
      <c r="A96" s="35" t="s">
        <v>5</v>
      </c>
      <c r="B96" s="108">
        <f>COUNTIF($A$19:A96,A96)</f>
        <v>6</v>
      </c>
      <c r="C96" s="36" t="s">
        <v>113</v>
      </c>
      <c r="D96" s="37">
        <f>8500000+1700000+1700000+1700000+1700000+1700000+1700000</f>
        <v>18700000</v>
      </c>
      <c r="E96" s="37">
        <f>8500000+1700000+2000000+1400000+1700000+1700000</f>
        <v>17000000</v>
      </c>
      <c r="F96" s="37">
        <f>D96-E96</f>
        <v>1700000</v>
      </c>
    </row>
    <row r="97" spans="1:6" hidden="1" x14ac:dyDescent="0.3">
      <c r="A97" s="35" t="s">
        <v>7</v>
      </c>
      <c r="B97" s="108">
        <f>COUNTIF($A$19:A97,A97)</f>
        <v>9</v>
      </c>
      <c r="C97" s="36" t="s">
        <v>114</v>
      </c>
      <c r="D97" s="37">
        <f>8500000+1700000+1700000+1700000+1700000+1700000+1700000</f>
        <v>18700000</v>
      </c>
      <c r="E97" s="37">
        <f>8500000+3000000+2100000+3400000</f>
        <v>17000000</v>
      </c>
      <c r="F97" s="37">
        <f>D97-E97</f>
        <v>1700000</v>
      </c>
    </row>
    <row r="98" spans="1:6" hidden="1" x14ac:dyDescent="0.3">
      <c r="A98" s="35" t="s">
        <v>23</v>
      </c>
      <c r="B98" s="108">
        <f>COUNTIF($A$19:A98,A98)</f>
        <v>5</v>
      </c>
      <c r="C98" s="36" t="s">
        <v>115</v>
      </c>
      <c r="D98" s="37">
        <f>8500000+1700000</f>
        <v>10200000</v>
      </c>
      <c r="E98" s="37">
        <f>0+1700000+1700000+1700000+1700000+1700000</f>
        <v>8500000</v>
      </c>
      <c r="F98" s="37">
        <f>D98-E98</f>
        <v>1700000</v>
      </c>
    </row>
    <row r="99" spans="1:6" hidden="1" x14ac:dyDescent="0.3">
      <c r="A99" s="35" t="s">
        <v>27</v>
      </c>
      <c r="B99" s="108">
        <f>COUNTIF($A$19:A99,A99)</f>
        <v>6</v>
      </c>
      <c r="C99" s="36" t="s">
        <v>116</v>
      </c>
      <c r="D99" s="37">
        <f>8500000+1700000</f>
        <v>10200000</v>
      </c>
      <c r="E99" s="37">
        <f>4250000+2125000+2125000</f>
        <v>8500000</v>
      </c>
      <c r="F99" s="37">
        <f>D99-E99</f>
        <v>1700000</v>
      </c>
    </row>
    <row r="100" spans="1:6" hidden="1" x14ac:dyDescent="0.3">
      <c r="A100" s="35" t="s">
        <v>24</v>
      </c>
      <c r="B100" s="108">
        <f>COUNTIF($A$19:A100,A100)</f>
        <v>10</v>
      </c>
      <c r="C100" s="36" t="s">
        <v>117</v>
      </c>
      <c r="D100" s="37">
        <f>8500000+1700000</f>
        <v>10200000</v>
      </c>
      <c r="E100" s="37">
        <f>1000000+1000000+1900000+900000+2500000+1200000</f>
        <v>8500000</v>
      </c>
      <c r="F100" s="37">
        <f>D100-E100</f>
        <v>1700000</v>
      </c>
    </row>
    <row r="101" spans="1:6" hidden="1" x14ac:dyDescent="0.3">
      <c r="A101" s="35" t="s">
        <v>24</v>
      </c>
      <c r="B101" s="108">
        <f>COUNTIF($A$19:A101,A101)</f>
        <v>11</v>
      </c>
      <c r="C101" s="36" t="s">
        <v>118</v>
      </c>
      <c r="D101" s="37">
        <f>8500000+1700000</f>
        <v>10200000</v>
      </c>
      <c r="E101" s="37">
        <f>4890000+1804000+1806000</f>
        <v>8500000</v>
      </c>
      <c r="F101" s="37">
        <f>D101-E101</f>
        <v>1700000</v>
      </c>
    </row>
    <row r="102" spans="1:6" hidden="1" x14ac:dyDescent="0.3">
      <c r="A102" s="35" t="s">
        <v>5</v>
      </c>
      <c r="B102" s="108">
        <f>COUNTIF($A$19:A102,A102)</f>
        <v>7</v>
      </c>
      <c r="C102" s="36" t="s">
        <v>119</v>
      </c>
      <c r="D102" s="37">
        <f>8500000+1700000+1700000+1700000+1700000+1700000+1700000</f>
        <v>18700000</v>
      </c>
      <c r="E102" s="37">
        <v>18700000</v>
      </c>
      <c r="F102" s="37">
        <f>D102-E102</f>
        <v>0</v>
      </c>
    </row>
    <row r="103" spans="1:6" hidden="1" x14ac:dyDescent="0.3">
      <c r="A103" s="35" t="s">
        <v>7</v>
      </c>
      <c r="B103" s="108">
        <f>COUNTIF($A$19:A103,A103)</f>
        <v>10</v>
      </c>
      <c r="C103" s="36" t="s">
        <v>120</v>
      </c>
      <c r="D103" s="37">
        <f>8500000+1700000+1700000+1700000+1700000+1700000+1700000</f>
        <v>18700000</v>
      </c>
      <c r="E103" s="37">
        <f>8500000+2000000+2000000+2000000+2500000</f>
        <v>17000000</v>
      </c>
      <c r="F103" s="37">
        <f>D103-E103</f>
        <v>1700000</v>
      </c>
    </row>
    <row r="104" spans="1:6" hidden="1" x14ac:dyDescent="0.3">
      <c r="A104" s="35" t="s">
        <v>23</v>
      </c>
      <c r="B104" s="108">
        <f>COUNTIF($A$19:A104,A104)</f>
        <v>6</v>
      </c>
      <c r="C104" s="36" t="s">
        <v>121</v>
      </c>
      <c r="D104" s="37">
        <f>8500000+1700000</f>
        <v>10200000</v>
      </c>
      <c r="E104" s="37">
        <f>3100000+1700000+1850000+1850000</f>
        <v>8500000</v>
      </c>
      <c r="F104" s="37">
        <f>D104-E104</f>
        <v>1700000</v>
      </c>
    </row>
    <row r="105" spans="1:6" hidden="1" x14ac:dyDescent="0.3">
      <c r="A105" s="35" t="s">
        <v>9</v>
      </c>
      <c r="B105" s="108">
        <f>COUNTIF($A$19:A105,A105)</f>
        <v>8</v>
      </c>
      <c r="C105" s="36" t="s">
        <v>122</v>
      </c>
      <c r="D105" s="37">
        <f>8500000+1700000+1700000+1700000+1700000+1700000+1700000</f>
        <v>18700000</v>
      </c>
      <c r="E105" s="37">
        <f>8500000+1500000+1900000+1700000+1700000+1700000</f>
        <v>17000000</v>
      </c>
      <c r="F105" s="37">
        <f>D105-E105</f>
        <v>1700000</v>
      </c>
    </row>
    <row r="106" spans="1:6" hidden="1" x14ac:dyDescent="0.3">
      <c r="A106" s="35" t="s">
        <v>21</v>
      </c>
      <c r="B106" s="108">
        <f>COUNTIF($A$19:A106,A106)</f>
        <v>7</v>
      </c>
      <c r="C106" s="36" t="s">
        <v>123</v>
      </c>
      <c r="D106" s="37">
        <f>8500000+1700000</f>
        <v>10200000</v>
      </c>
      <c r="E106" s="37">
        <v>8500000</v>
      </c>
      <c r="F106" s="37">
        <f>D106-E106</f>
        <v>1700000</v>
      </c>
    </row>
    <row r="107" spans="1:6" hidden="1" x14ac:dyDescent="0.3">
      <c r="A107" s="35" t="s">
        <v>7</v>
      </c>
      <c r="B107" s="108">
        <f>COUNTIF($A$19:A107,A107)</f>
        <v>11</v>
      </c>
      <c r="C107" s="36" t="s">
        <v>124</v>
      </c>
      <c r="D107" s="37">
        <f>8500000+1700000+1700000+1700000+1700000+1700000+1700000</f>
        <v>18700000</v>
      </c>
      <c r="E107" s="37">
        <f>8500000+2000000+180000+1620000+1300000+1000000+2000000+400000</f>
        <v>17000000</v>
      </c>
      <c r="F107" s="37">
        <f>D107-E107</f>
        <v>1700000</v>
      </c>
    </row>
    <row r="108" spans="1:6" hidden="1" x14ac:dyDescent="0.3">
      <c r="A108" s="35" t="s">
        <v>7</v>
      </c>
      <c r="B108" s="108">
        <f>COUNTIF($A$19:A108,A108)</f>
        <v>12</v>
      </c>
      <c r="C108" s="36" t="s">
        <v>125</v>
      </c>
      <c r="D108" s="37">
        <f>8500000+1700000+1700000+1700000+1700000+1700000+1700000</f>
        <v>18700000</v>
      </c>
      <c r="E108" s="37">
        <f>8500000+2000000+700000+1000000+1400000+1000000+2400000</f>
        <v>17000000</v>
      </c>
      <c r="F108" s="37">
        <f>D108-E108</f>
        <v>1700000</v>
      </c>
    </row>
    <row r="109" spans="1:6" hidden="1" x14ac:dyDescent="0.3">
      <c r="A109" s="35" t="s">
        <v>27</v>
      </c>
      <c r="B109" s="108">
        <f>COUNTIF($A$19:A109,A109)</f>
        <v>7</v>
      </c>
      <c r="C109" s="36" t="s">
        <v>126</v>
      </c>
      <c r="D109" s="37">
        <f>8500000+1700000</f>
        <v>10200000</v>
      </c>
      <c r="E109" s="37">
        <f>5000000+3500000</f>
        <v>8500000</v>
      </c>
      <c r="F109" s="37">
        <f>D109-E109</f>
        <v>1700000</v>
      </c>
    </row>
    <row r="110" spans="1:6" hidden="1" x14ac:dyDescent="0.3">
      <c r="A110" s="35" t="s">
        <v>5</v>
      </c>
      <c r="B110" s="108">
        <f>COUNTIF($A$19:A110,A110)</f>
        <v>8</v>
      </c>
      <c r="C110" s="36" t="s">
        <v>127</v>
      </c>
      <c r="D110" s="37">
        <f>8500000+1700000+1700000+1700000+1700000+1700000+1700000</f>
        <v>18700000</v>
      </c>
      <c r="E110" s="37">
        <f>8500000+1300000+2000000+1900000+1600000+1700000</f>
        <v>17000000</v>
      </c>
      <c r="F110" s="37">
        <f>D110-E110</f>
        <v>1700000</v>
      </c>
    </row>
    <row r="111" spans="1:6" hidden="1" x14ac:dyDescent="0.3">
      <c r="A111" s="35" t="s">
        <v>25</v>
      </c>
      <c r="B111" s="108">
        <f>COUNTIF($A$19:A111,A111)</f>
        <v>5</v>
      </c>
      <c r="C111" s="36" t="s">
        <v>128</v>
      </c>
      <c r="D111" s="37">
        <f>8500000+1700000</f>
        <v>10200000</v>
      </c>
      <c r="E111" s="37">
        <f>1500000+1800000+1800000+700000+1200000+1500000</f>
        <v>8500000</v>
      </c>
      <c r="F111" s="37">
        <f>D111-E111</f>
        <v>1700000</v>
      </c>
    </row>
    <row r="112" spans="1:6" hidden="1" x14ac:dyDescent="0.3">
      <c r="A112" s="35" t="s">
        <v>9</v>
      </c>
      <c r="B112" s="108">
        <f>COUNTIF($A$19:A112,A112)</f>
        <v>9</v>
      </c>
      <c r="C112" s="36" t="s">
        <v>129</v>
      </c>
      <c r="D112" s="37">
        <f>8500000+1700000+1700000+1700000+1700000+1700000+1700000</f>
        <v>18700000</v>
      </c>
      <c r="E112" s="37">
        <v>18100000</v>
      </c>
      <c r="F112" s="37">
        <f>D112-E112</f>
        <v>600000</v>
      </c>
    </row>
    <row r="113" spans="1:6" hidden="1" x14ac:dyDescent="0.3">
      <c r="A113" s="35" t="s">
        <v>5</v>
      </c>
      <c r="B113" s="108">
        <f>COUNTIF($A$19:A113,A113)</f>
        <v>9</v>
      </c>
      <c r="C113" s="36" t="s">
        <v>130</v>
      </c>
      <c r="D113" s="37">
        <f>8500000+1700000+1700000+1700000+1700000+1700000+1700000</f>
        <v>18700000</v>
      </c>
      <c r="E113" s="37">
        <f>8500000+1900000+1100000+2500000+800000+750000+1450000</f>
        <v>17000000</v>
      </c>
      <c r="F113" s="37">
        <f>D113-E113</f>
        <v>1700000</v>
      </c>
    </row>
    <row r="114" spans="1:6" hidden="1" x14ac:dyDescent="0.3">
      <c r="A114" s="35" t="s">
        <v>25</v>
      </c>
      <c r="B114" s="108">
        <f>COUNTIF($A$19:A114,A114)</f>
        <v>6</v>
      </c>
      <c r="C114" s="36" t="s">
        <v>131</v>
      </c>
      <c r="D114" s="37">
        <f>8500000+1700000</f>
        <v>10200000</v>
      </c>
      <c r="E114" s="37">
        <v>9600000</v>
      </c>
      <c r="F114" s="37">
        <f>D114-E114</f>
        <v>600000</v>
      </c>
    </row>
    <row r="115" spans="1:6" hidden="1" x14ac:dyDescent="0.3">
      <c r="A115" s="35" t="s">
        <v>5</v>
      </c>
      <c r="B115" s="108">
        <f>COUNTIF($A$19:A115,A115)</f>
        <v>10</v>
      </c>
      <c r="C115" s="36" t="s">
        <v>132</v>
      </c>
      <c r="D115" s="37">
        <f>8500000+1700000+1700000+1700000+1700000+1700000+1700000</f>
        <v>18700000</v>
      </c>
      <c r="E115" s="37">
        <f>8500000+1700000+1700000+1500000+2000000+1600000</f>
        <v>17000000</v>
      </c>
      <c r="F115" s="37">
        <f>D115-E115</f>
        <v>1700000</v>
      </c>
    </row>
    <row r="116" spans="1:6" hidden="1" x14ac:dyDescent="0.3">
      <c r="A116" s="35" t="s">
        <v>17</v>
      </c>
      <c r="B116" s="108">
        <f>COUNTIF($A$19:A116,A116)</f>
        <v>6</v>
      </c>
      <c r="C116" s="36" t="s">
        <v>133</v>
      </c>
      <c r="D116" s="37">
        <f>8500000+1700000</f>
        <v>10200000</v>
      </c>
      <c r="E116" s="37">
        <v>10200000</v>
      </c>
      <c r="F116" s="37">
        <f>D116-E116</f>
        <v>0</v>
      </c>
    </row>
    <row r="117" spans="1:6" hidden="1" x14ac:dyDescent="0.3">
      <c r="A117" s="35" t="s">
        <v>23</v>
      </c>
      <c r="B117" s="108">
        <f>COUNTIF($A$19:A117,A117)</f>
        <v>7</v>
      </c>
      <c r="C117" s="36" t="s">
        <v>134</v>
      </c>
      <c r="D117" s="37">
        <f>8500000+1700000</f>
        <v>10200000</v>
      </c>
      <c r="E117" s="37">
        <f>1275000+4000000+3225000</f>
        <v>8500000</v>
      </c>
      <c r="F117" s="37">
        <f>D117-E117</f>
        <v>1700000</v>
      </c>
    </row>
    <row r="118" spans="1:6" hidden="1" x14ac:dyDescent="0.3">
      <c r="A118" s="35" t="s">
        <v>9</v>
      </c>
      <c r="B118" s="108">
        <f>COUNTIF($A$19:A118,A118)</f>
        <v>10</v>
      </c>
      <c r="C118" s="36" t="s">
        <v>135</v>
      </c>
      <c r="D118" s="37">
        <f>8500000+1700000+1700000+1700000+1700000+1700000+1700000</f>
        <v>18700000</v>
      </c>
      <c r="E118" s="37">
        <f>8500000+1700000+1700000+1700000+1700000+1700000</f>
        <v>17000000</v>
      </c>
      <c r="F118" s="37">
        <f>D118-E118</f>
        <v>1700000</v>
      </c>
    </row>
    <row r="119" spans="1:6" hidden="1" x14ac:dyDescent="0.3">
      <c r="A119" s="35" t="s">
        <v>17</v>
      </c>
      <c r="B119" s="108">
        <f>COUNTIF($A$19:A119,A119)</f>
        <v>7</v>
      </c>
      <c r="C119" s="36" t="s">
        <v>136</v>
      </c>
      <c r="D119" s="37">
        <f>8500000+1700000</f>
        <v>10200000</v>
      </c>
      <c r="E119" s="37">
        <f>850000+500000+850000+1000000+1500000+1300000+600000+700000+1200000</f>
        <v>8500000</v>
      </c>
      <c r="F119" s="37">
        <f>D119-E119</f>
        <v>1700000</v>
      </c>
    </row>
    <row r="120" spans="1:6" hidden="1" x14ac:dyDescent="0.3">
      <c r="A120" s="35" t="s">
        <v>15</v>
      </c>
      <c r="B120" s="108">
        <f>COUNTIF($A$19:A120,A120)</f>
        <v>7</v>
      </c>
      <c r="C120" s="36" t="s">
        <v>137</v>
      </c>
      <c r="D120" s="37">
        <f>8500000+1700000</f>
        <v>10200000</v>
      </c>
      <c r="E120" s="37">
        <f>1240000+1000000+800000+1700000+2000000+1760000</f>
        <v>8500000</v>
      </c>
      <c r="F120" s="37">
        <f>D120-E120</f>
        <v>1700000</v>
      </c>
    </row>
    <row r="121" spans="1:6" hidden="1" x14ac:dyDescent="0.3">
      <c r="A121" s="35" t="s">
        <v>19</v>
      </c>
      <c r="B121" s="108">
        <f>COUNTIF($A$19:A121,A121)</f>
        <v>7</v>
      </c>
      <c r="C121" s="36" t="s">
        <v>138</v>
      </c>
      <c r="D121" s="37">
        <f>8500000+1700000</f>
        <v>10200000</v>
      </c>
      <c r="E121" s="37">
        <f>1200000+1350000+5000000+950000</f>
        <v>8500000</v>
      </c>
      <c r="F121" s="37">
        <f>D121-E121</f>
        <v>1700000</v>
      </c>
    </row>
    <row r="122" spans="1:6" hidden="1" x14ac:dyDescent="0.3">
      <c r="A122" s="35" t="s">
        <v>25</v>
      </c>
      <c r="B122" s="108">
        <f>COUNTIF($A$19:A122,A122)</f>
        <v>7</v>
      </c>
      <c r="C122" s="36" t="s">
        <v>139</v>
      </c>
      <c r="D122" s="37">
        <f>7000000+1700000</f>
        <v>8700000</v>
      </c>
      <c r="E122" s="37">
        <f>2000000+2000000+3000000</f>
        <v>7000000</v>
      </c>
      <c r="F122" s="37">
        <f>D122-E122</f>
        <v>1700000</v>
      </c>
    </row>
    <row r="123" spans="1:6" hidden="1" x14ac:dyDescent="0.3">
      <c r="A123" s="35" t="s">
        <v>23</v>
      </c>
      <c r="B123" s="108">
        <f>COUNTIF($A$19:A123,A123)</f>
        <v>8</v>
      </c>
      <c r="C123" s="36" t="s">
        <v>140</v>
      </c>
      <c r="D123" s="37">
        <f>8500000+1700000</f>
        <v>10200000</v>
      </c>
      <c r="E123" s="37">
        <f>1275000+1383000+2200000+1840000+1802000</f>
        <v>8500000</v>
      </c>
      <c r="F123" s="37">
        <f>D123-E123</f>
        <v>1700000</v>
      </c>
    </row>
    <row r="124" spans="1:6" hidden="1" x14ac:dyDescent="0.3">
      <c r="A124" s="35" t="s">
        <v>25</v>
      </c>
      <c r="B124" s="108">
        <f>COUNTIF($A$19:A124,A124)</f>
        <v>8</v>
      </c>
      <c r="C124" s="36" t="s">
        <v>141</v>
      </c>
      <c r="D124" s="37">
        <f>8500000+1700000</f>
        <v>10200000</v>
      </c>
      <c r="E124" s="37">
        <f>850000+500000+500000+3000000+1500000+500000+1000000+650000</f>
        <v>8500000</v>
      </c>
      <c r="F124" s="37">
        <f>D124-E124</f>
        <v>1700000</v>
      </c>
    </row>
    <row r="125" spans="1:6" hidden="1" x14ac:dyDescent="0.3">
      <c r="A125" s="35" t="s">
        <v>7</v>
      </c>
      <c r="B125" s="108">
        <f>COUNTIF($A$19:A125,A125)</f>
        <v>13</v>
      </c>
      <c r="C125" s="36" t="s">
        <v>142</v>
      </c>
      <c r="D125" s="37">
        <f>8500000+1700000+1700000+1700000+1700000+1700000+1700000</f>
        <v>18700000</v>
      </c>
      <c r="E125" s="37">
        <f>8500000+6000000+500000+2000000</f>
        <v>17000000</v>
      </c>
      <c r="F125" s="37">
        <f>D125-E125</f>
        <v>1700000</v>
      </c>
    </row>
    <row r="126" spans="1:6" hidden="1" x14ac:dyDescent="0.3">
      <c r="A126" s="35" t="s">
        <v>17</v>
      </c>
      <c r="B126" s="108">
        <f>COUNTIF($A$19:A126,A126)</f>
        <v>8</v>
      </c>
      <c r="C126" s="36" t="s">
        <v>143</v>
      </c>
      <c r="D126" s="37">
        <f>8500000+1700000</f>
        <v>10200000</v>
      </c>
      <c r="E126" s="37">
        <f>1275000+1806000+1806000+1806000+1807000</f>
        <v>8500000</v>
      </c>
      <c r="F126" s="37">
        <f>D126-E126</f>
        <v>1700000</v>
      </c>
    </row>
    <row r="127" spans="1:6" hidden="1" x14ac:dyDescent="0.3">
      <c r="A127" s="35" t="s">
        <v>7</v>
      </c>
      <c r="B127" s="108">
        <f>COUNTIF($A$19:A127,A127)</f>
        <v>14</v>
      </c>
      <c r="C127" s="36" t="s">
        <v>144</v>
      </c>
      <c r="D127" s="37">
        <f>8500000+1700000+1700000+1700000+1700000+1700000+1700000</f>
        <v>18700000</v>
      </c>
      <c r="E127" s="37">
        <f>8500000+3400000+1800000+1300000+1400000+600000</f>
        <v>17000000</v>
      </c>
      <c r="F127" s="37">
        <f>D127-E127</f>
        <v>1700000</v>
      </c>
    </row>
    <row r="128" spans="1:6" hidden="1" x14ac:dyDescent="0.3">
      <c r="A128" s="35" t="s">
        <v>24</v>
      </c>
      <c r="B128" s="108">
        <f>COUNTIF($A$19:A128,A128)</f>
        <v>12</v>
      </c>
      <c r="C128" s="36" t="s">
        <v>145</v>
      </c>
      <c r="D128" s="37">
        <f>8500000+1700000</f>
        <v>10200000</v>
      </c>
      <c r="E128" s="37">
        <v>10500000</v>
      </c>
      <c r="F128" s="37">
        <f>D128-E128</f>
        <v>-300000</v>
      </c>
    </row>
    <row r="129" spans="1:6" hidden="1" x14ac:dyDescent="0.3">
      <c r="A129" s="35" t="s">
        <v>23</v>
      </c>
      <c r="B129" s="108">
        <f>COUNTIF($A$19:A129,A129)</f>
        <v>9</v>
      </c>
      <c r="C129" s="36" t="s">
        <v>146</v>
      </c>
      <c r="D129" s="37">
        <f>8500000+1700000</f>
        <v>10200000</v>
      </c>
      <c r="E129" s="37">
        <f>5000000+3500000</f>
        <v>8500000</v>
      </c>
      <c r="F129" s="37">
        <f>D129-E129</f>
        <v>1700000</v>
      </c>
    </row>
    <row r="130" spans="1:6" hidden="1" x14ac:dyDescent="0.3">
      <c r="A130" s="35" t="s">
        <v>7</v>
      </c>
      <c r="B130" s="108">
        <f>COUNTIF($A$19:A130,A130)</f>
        <v>15</v>
      </c>
      <c r="C130" s="36" t="s">
        <v>147</v>
      </c>
      <c r="D130" s="37">
        <f>8500000+1700000+1700000+1700000+1700000+1700000+1700000</f>
        <v>18700000</v>
      </c>
      <c r="E130" s="37">
        <f>8500000+8500000</f>
        <v>17000000</v>
      </c>
      <c r="F130" s="37">
        <f>D130-E130</f>
        <v>1700000</v>
      </c>
    </row>
    <row r="131" spans="1:6" hidden="1" x14ac:dyDescent="0.3">
      <c r="A131" s="35" t="s">
        <v>7</v>
      </c>
      <c r="B131" s="108">
        <f>COUNTIF($A$19:A131,A131)</f>
        <v>16</v>
      </c>
      <c r="C131" s="36" t="s">
        <v>148</v>
      </c>
      <c r="D131" s="37">
        <f>8500000+1700000+1700000+1700000+1700000+1700000+1700000</f>
        <v>18700000</v>
      </c>
      <c r="E131" s="37">
        <f>13475000+1500000+2025000</f>
        <v>17000000</v>
      </c>
      <c r="F131" s="37">
        <f>D131-E131</f>
        <v>1700000</v>
      </c>
    </row>
    <row r="132" spans="1:6" hidden="1" x14ac:dyDescent="0.3">
      <c r="A132" s="35" t="s">
        <v>24</v>
      </c>
      <c r="B132" s="108">
        <f>COUNTIF($A$19:A132,A132)</f>
        <v>13</v>
      </c>
      <c r="C132" s="36" t="s">
        <v>149</v>
      </c>
      <c r="D132" s="37">
        <f>8500000+1700000</f>
        <v>10200000</v>
      </c>
      <c r="E132" s="37">
        <f>0+1275000+900000+900000+900000+1500000+2500000+525000</f>
        <v>8500000</v>
      </c>
      <c r="F132" s="37">
        <f>D132-E132</f>
        <v>1700000</v>
      </c>
    </row>
    <row r="133" spans="1:6" hidden="1" x14ac:dyDescent="0.3">
      <c r="A133" s="35" t="s">
        <v>17</v>
      </c>
      <c r="B133" s="108">
        <f>COUNTIF($A$19:A133,A133)</f>
        <v>9</v>
      </c>
      <c r="C133" s="36" t="s">
        <v>150</v>
      </c>
      <c r="D133" s="37">
        <f>8500000+1700000</f>
        <v>10200000</v>
      </c>
      <c r="E133" s="37">
        <f>0+1000000+1000000+1500000+1400000+1600000+1000000+1000000</f>
        <v>8500000</v>
      </c>
      <c r="F133" s="37">
        <f>D133-E133</f>
        <v>1700000</v>
      </c>
    </row>
    <row r="134" spans="1:6" hidden="1" x14ac:dyDescent="0.3">
      <c r="A134" s="35" t="s">
        <v>24</v>
      </c>
      <c r="B134" s="108">
        <f>COUNTIF($A$19:A134,A134)</f>
        <v>14</v>
      </c>
      <c r="C134" s="36" t="s">
        <v>151</v>
      </c>
      <c r="D134" s="37">
        <f>8500000+1700000</f>
        <v>10200000</v>
      </c>
      <c r="E134" s="37">
        <f>2225000+845000+1782000+800000+2800000+48000</f>
        <v>8500000</v>
      </c>
      <c r="F134" s="37">
        <f>D134-E134</f>
        <v>1700000</v>
      </c>
    </row>
    <row r="135" spans="1:6" hidden="1" x14ac:dyDescent="0.3">
      <c r="A135" s="35" t="s">
        <v>5</v>
      </c>
      <c r="B135" s="108">
        <f>COUNTIF($A$19:A135,A135)</f>
        <v>11</v>
      </c>
      <c r="C135" s="36" t="s">
        <v>152</v>
      </c>
      <c r="D135" s="37">
        <f>8500000+1700000+1700000+1700000+1700000+1700000+1700000</f>
        <v>18700000</v>
      </c>
      <c r="E135" s="37">
        <f>10475000+1200000+2416000+1200000+1709000</f>
        <v>17000000</v>
      </c>
      <c r="F135" s="37">
        <f>D135-E135</f>
        <v>1700000</v>
      </c>
    </row>
    <row r="136" spans="1:6" hidden="1" x14ac:dyDescent="0.3">
      <c r="A136" s="35" t="s">
        <v>15</v>
      </c>
      <c r="B136" s="108">
        <f>COUNTIF($A$19:A136,A136)</f>
        <v>8</v>
      </c>
      <c r="C136" s="36" t="s">
        <v>153</v>
      </c>
      <c r="D136" s="37">
        <f>8500000+1700000</f>
        <v>10200000</v>
      </c>
      <c r="E136" s="37">
        <f>1500000+2500000+900000+1800000+1800000</f>
        <v>8500000</v>
      </c>
      <c r="F136" s="37">
        <f>D136-E136</f>
        <v>1700000</v>
      </c>
    </row>
    <row r="137" spans="1:6" hidden="1" x14ac:dyDescent="0.3">
      <c r="A137" s="35" t="s">
        <v>7</v>
      </c>
      <c r="B137" s="108">
        <f>COUNTIF($A$19:A137,A137)</f>
        <v>17</v>
      </c>
      <c r="C137" s="36" t="s">
        <v>154</v>
      </c>
      <c r="D137" s="37">
        <f>8500000+1700000+1700000+1700000+1700000+1700000+1700000</f>
        <v>18700000</v>
      </c>
      <c r="E137" s="37">
        <f>8500000+8500000</f>
        <v>17000000</v>
      </c>
      <c r="F137" s="37">
        <f>D137-E137</f>
        <v>1700000</v>
      </c>
    </row>
    <row r="138" spans="1:6" hidden="1" x14ac:dyDescent="0.3">
      <c r="A138" s="35" t="s">
        <v>17</v>
      </c>
      <c r="B138" s="108">
        <f>COUNTIF($A$19:A138,A138)</f>
        <v>10</v>
      </c>
      <c r="C138" s="36" t="s">
        <v>155</v>
      </c>
      <c r="D138" s="37">
        <f>8500000+1700000</f>
        <v>10200000</v>
      </c>
      <c r="E138" s="37">
        <f>0+1100000+1200000+1000000+1500000+1000000+1000000+1700000</f>
        <v>8500000</v>
      </c>
      <c r="F138" s="37">
        <f>D138-E138</f>
        <v>1700000</v>
      </c>
    </row>
    <row r="139" spans="1:6" hidden="1" x14ac:dyDescent="0.3">
      <c r="A139" s="35" t="s">
        <v>24</v>
      </c>
      <c r="B139" s="108">
        <f>COUNTIF($A$19:A139,A139)</f>
        <v>15</v>
      </c>
      <c r="C139" s="36" t="s">
        <v>156</v>
      </c>
      <c r="D139" s="37">
        <f>8500000+1700000</f>
        <v>10200000</v>
      </c>
      <c r="E139" s="37">
        <f>1275000+4000000+1000000+1850000+375000</f>
        <v>8500000</v>
      </c>
      <c r="F139" s="37">
        <f>D139-E139</f>
        <v>1700000</v>
      </c>
    </row>
    <row r="140" spans="1:6" hidden="1" x14ac:dyDescent="0.3">
      <c r="A140" s="35" t="s">
        <v>25</v>
      </c>
      <c r="B140" s="108">
        <f>COUNTIF($A$19:A140,A140)</f>
        <v>9</v>
      </c>
      <c r="C140" s="36" t="s">
        <v>157</v>
      </c>
      <c r="D140" s="37">
        <f>7000000+1700000</f>
        <v>8700000</v>
      </c>
      <c r="E140" s="37">
        <f>2000000+1500000+2000000+1500000</f>
        <v>7000000</v>
      </c>
      <c r="F140" s="37">
        <f>D140-E140</f>
        <v>1700000</v>
      </c>
    </row>
    <row r="141" spans="1:6" hidden="1" x14ac:dyDescent="0.3">
      <c r="A141" s="35" t="s">
        <v>24</v>
      </c>
      <c r="B141" s="108">
        <f>COUNTIF($A$19:A141,A141)</f>
        <v>16</v>
      </c>
      <c r="C141" s="36" t="s">
        <v>158</v>
      </c>
      <c r="D141" s="37">
        <f>8500000+1700000</f>
        <v>10200000</v>
      </c>
      <c r="E141" s="37">
        <v>10200000</v>
      </c>
      <c r="F141" s="37">
        <f>D141-E141</f>
        <v>0</v>
      </c>
    </row>
    <row r="142" spans="1:6" hidden="1" x14ac:dyDescent="0.3">
      <c r="A142" s="35" t="s">
        <v>24</v>
      </c>
      <c r="B142" s="108">
        <f>COUNTIF($A$19:A142,A142)</f>
        <v>17</v>
      </c>
      <c r="C142" s="36" t="s">
        <v>159</v>
      </c>
      <c r="D142" s="37">
        <f>8500000+1700000</f>
        <v>10200000</v>
      </c>
      <c r="E142" s="37">
        <f>0+1275000+1800000+1200000+1500000+2725000</f>
        <v>8500000</v>
      </c>
      <c r="F142" s="37">
        <f>D142-E142</f>
        <v>1700000</v>
      </c>
    </row>
    <row r="143" spans="1:6" hidden="1" x14ac:dyDescent="0.3">
      <c r="A143" s="35" t="s">
        <v>21</v>
      </c>
      <c r="B143" s="108">
        <f>COUNTIF($A$19:A143,A143)</f>
        <v>8</v>
      </c>
      <c r="C143" s="36" t="s">
        <v>160</v>
      </c>
      <c r="D143" s="37">
        <f>8500000+1700000</f>
        <v>10200000</v>
      </c>
      <c r="E143" s="37">
        <v>8500000</v>
      </c>
      <c r="F143" s="37">
        <f>D143-E143</f>
        <v>1700000</v>
      </c>
    </row>
    <row r="144" spans="1:6" hidden="1" x14ac:dyDescent="0.3">
      <c r="A144" s="35" t="s">
        <v>15</v>
      </c>
      <c r="B144" s="108">
        <f>COUNTIF($A$19:A144,A144)</f>
        <v>9</v>
      </c>
      <c r="C144" s="36" t="s">
        <v>161</v>
      </c>
      <c r="D144" s="37">
        <f>8500000+1700000</f>
        <v>10200000</v>
      </c>
      <c r="E144" s="37">
        <f>2500000+582000+1800000+1800000+1818000</f>
        <v>8500000</v>
      </c>
      <c r="F144" s="37">
        <f>D144-E144</f>
        <v>1700000</v>
      </c>
    </row>
    <row r="145" spans="1:6" hidden="1" x14ac:dyDescent="0.3">
      <c r="A145" s="35" t="s">
        <v>21</v>
      </c>
      <c r="B145" s="108">
        <f>COUNTIF($A$19:A145,A145)</f>
        <v>9</v>
      </c>
      <c r="C145" s="36" t="s">
        <v>162</v>
      </c>
      <c r="D145" s="37">
        <f>8500000+1700000</f>
        <v>10200000</v>
      </c>
      <c r="E145" s="37">
        <v>10200000</v>
      </c>
      <c r="F145" s="37">
        <f>D145-E145</f>
        <v>0</v>
      </c>
    </row>
    <row r="146" spans="1:6" hidden="1" x14ac:dyDescent="0.3">
      <c r="A146" s="35" t="s">
        <v>19</v>
      </c>
      <c r="B146" s="108">
        <f>COUNTIF($A$19:A146,A146)</f>
        <v>8</v>
      </c>
      <c r="C146" s="36" t="s">
        <v>163</v>
      </c>
      <c r="D146" s="37">
        <f>8500000+1700000</f>
        <v>10200000</v>
      </c>
      <c r="E146" s="37">
        <f>8500000</f>
        <v>8500000</v>
      </c>
      <c r="F146" s="37">
        <f>D146-E146</f>
        <v>1700000</v>
      </c>
    </row>
    <row r="147" spans="1:6" hidden="1" x14ac:dyDescent="0.3">
      <c r="A147" s="35" t="s">
        <v>19</v>
      </c>
      <c r="B147" s="108">
        <f>COUNTIF($A$19:A147,A147)</f>
        <v>9</v>
      </c>
      <c r="C147" s="36" t="s">
        <v>164</v>
      </c>
      <c r="D147" s="37">
        <f>8500000+1700000</f>
        <v>10200000</v>
      </c>
      <c r="E147" s="37">
        <f>1275000+1806000+1806250+1807000+1806000</f>
        <v>8500250</v>
      </c>
      <c r="F147" s="37">
        <f>D147-E147</f>
        <v>1699750</v>
      </c>
    </row>
    <row r="148" spans="1:6" hidden="1" x14ac:dyDescent="0.3">
      <c r="A148" s="35" t="s">
        <v>24</v>
      </c>
      <c r="B148" s="108">
        <f>COUNTIF($A$19:A148,A148)</f>
        <v>18</v>
      </c>
      <c r="C148" s="36" t="s">
        <v>165</v>
      </c>
      <c r="D148" s="37">
        <f>8500000+1700000</f>
        <v>10200000</v>
      </c>
      <c r="E148" s="37">
        <v>8501000</v>
      </c>
      <c r="F148" s="37">
        <f>D148-E148</f>
        <v>1699000</v>
      </c>
    </row>
    <row r="149" spans="1:6" hidden="1" x14ac:dyDescent="0.3">
      <c r="A149" s="35" t="s">
        <v>15</v>
      </c>
      <c r="B149" s="108">
        <f>COUNTIF($A$19:A149,A149)</f>
        <v>10</v>
      </c>
      <c r="C149" s="36" t="s">
        <v>166</v>
      </c>
      <c r="D149" s="37">
        <f>8500000+1700000</f>
        <v>10200000</v>
      </c>
      <c r="E149" s="37">
        <f>1275000+700000+500000+606000+2400000+3020000</f>
        <v>8501000</v>
      </c>
      <c r="F149" s="37">
        <f>D149-E149</f>
        <v>1699000</v>
      </c>
    </row>
    <row r="150" spans="1:6" hidden="1" x14ac:dyDescent="0.3">
      <c r="A150" s="35" t="s">
        <v>24</v>
      </c>
      <c r="B150" s="108">
        <f>COUNTIF($A$19:A150,A150)</f>
        <v>19</v>
      </c>
      <c r="C150" s="36" t="s">
        <v>167</v>
      </c>
      <c r="D150" s="37">
        <f>8500000+1700000</f>
        <v>10200000</v>
      </c>
      <c r="E150" s="37">
        <f>1275000+1300000+1700000+1700000+1000000+1500000+26000</f>
        <v>8501000</v>
      </c>
      <c r="F150" s="37">
        <f>D150-E150</f>
        <v>1699000</v>
      </c>
    </row>
    <row r="151" spans="1:6" hidden="1" x14ac:dyDescent="0.3">
      <c r="A151" s="35" t="s">
        <v>21</v>
      </c>
      <c r="B151" s="108">
        <f>COUNTIF($A$19:A151,A151)</f>
        <v>10</v>
      </c>
      <c r="C151" s="36" t="s">
        <v>168</v>
      </c>
      <c r="D151" s="37">
        <f>8500000+1700000</f>
        <v>10200000</v>
      </c>
      <c r="E151" s="37">
        <f>1275000+1806000+1805000+1810000+1805000</f>
        <v>8501000</v>
      </c>
      <c r="F151" s="37">
        <f>D151-E151</f>
        <v>1699000</v>
      </c>
    </row>
    <row r="152" spans="1:6" hidden="1" x14ac:dyDescent="0.3">
      <c r="A152" s="35" t="s">
        <v>27</v>
      </c>
      <c r="B152" s="108">
        <f>COUNTIF($A$19:A152,A152)</f>
        <v>8</v>
      </c>
      <c r="C152" s="36" t="s">
        <v>169</v>
      </c>
      <c r="D152" s="37">
        <f>8500000+1700000</f>
        <v>10200000</v>
      </c>
      <c r="E152" s="37">
        <f>1275000+1806000+5420000</f>
        <v>8501000</v>
      </c>
      <c r="F152" s="37">
        <f>D152-E152</f>
        <v>1699000</v>
      </c>
    </row>
    <row r="153" spans="1:6" hidden="1" x14ac:dyDescent="0.3">
      <c r="A153" s="35" t="s">
        <v>21</v>
      </c>
      <c r="B153" s="108">
        <f>COUNTIF($A$19:A153,A153)</f>
        <v>11</v>
      </c>
      <c r="C153" s="36" t="s">
        <v>170</v>
      </c>
      <c r="D153" s="37">
        <f>8500000+1700000</f>
        <v>10200000</v>
      </c>
      <c r="E153" s="37">
        <f>800000+2282000+1807000+1810000+1802000</f>
        <v>8501000</v>
      </c>
      <c r="F153" s="37">
        <f>D153-E153</f>
        <v>1699000</v>
      </c>
    </row>
    <row r="154" spans="1:6" hidden="1" x14ac:dyDescent="0.3">
      <c r="A154" s="35" t="s">
        <v>17</v>
      </c>
      <c r="B154" s="108">
        <f>COUNTIF($A$19:A154,A154)</f>
        <v>11</v>
      </c>
      <c r="C154" s="36" t="s">
        <v>171</v>
      </c>
      <c r="D154" s="37">
        <f>8500000+1700000</f>
        <v>10200000</v>
      </c>
      <c r="E154" s="37">
        <f>1275000+1806000+1710000+1905000+1805000</f>
        <v>8501000</v>
      </c>
      <c r="F154" s="37">
        <f>D154-E154</f>
        <v>1699000</v>
      </c>
    </row>
    <row r="155" spans="1:6" hidden="1" x14ac:dyDescent="0.3">
      <c r="A155" s="35" t="s">
        <v>19</v>
      </c>
      <c r="B155" s="108">
        <f>COUNTIF($A$19:A155,A155)</f>
        <v>10</v>
      </c>
      <c r="C155" s="36" t="s">
        <v>172</v>
      </c>
      <c r="D155" s="37">
        <f>8500000+1700000</f>
        <v>10200000</v>
      </c>
      <c r="E155" s="37">
        <v>8901000</v>
      </c>
      <c r="F155" s="37">
        <f>D155-E155</f>
        <v>1299000</v>
      </c>
    </row>
    <row r="156" spans="1:6" hidden="1" x14ac:dyDescent="0.3">
      <c r="A156" s="35" t="s">
        <v>5</v>
      </c>
      <c r="B156" s="108">
        <f>COUNTIF($A$19:A156,A156)</f>
        <v>12</v>
      </c>
      <c r="C156" s="36" t="s">
        <v>173</v>
      </c>
      <c r="D156" s="37">
        <f>8500000+1700000+1700000+1700000+1700000+1700000+1700000</f>
        <v>18700000</v>
      </c>
      <c r="E156" s="37">
        <f>8501176.47+1700000+1700000+1500000+3600000</f>
        <v>17001176.469999999</v>
      </c>
      <c r="F156" s="37">
        <f>D156-E156</f>
        <v>1698823.5300000012</v>
      </c>
    </row>
    <row r="157" spans="1:6" hidden="1" x14ac:dyDescent="0.3">
      <c r="A157" s="35" t="s">
        <v>5</v>
      </c>
      <c r="B157" s="108">
        <f>COUNTIF($A$19:A157,A157)</f>
        <v>13</v>
      </c>
      <c r="C157" s="36" t="s">
        <v>174</v>
      </c>
      <c r="D157" s="37">
        <f>8500000+1700000+1700000+1700000+1700000+1700000+1700000</f>
        <v>18700000</v>
      </c>
      <c r="E157" s="37">
        <v>18201250</v>
      </c>
      <c r="F157" s="37">
        <f>D157-E157</f>
        <v>498750</v>
      </c>
    </row>
    <row r="158" spans="1:6" hidden="1" x14ac:dyDescent="0.3">
      <c r="A158" s="35" t="s">
        <v>5</v>
      </c>
      <c r="B158" s="108">
        <f>COUNTIF($A$19:A158,A158)</f>
        <v>14</v>
      </c>
      <c r="C158" s="36" t="s">
        <v>175</v>
      </c>
      <c r="D158" s="37">
        <f>8500000+1700000+1700000+1700000+1700000+1700000+1700000</f>
        <v>18700000</v>
      </c>
      <c r="E158" s="37">
        <f>8501500+4500000+1000000+3000000</f>
        <v>17001500</v>
      </c>
      <c r="F158" s="37">
        <f>D158-E158</f>
        <v>1698500</v>
      </c>
    </row>
    <row r="159" spans="1:6" hidden="1" x14ac:dyDescent="0.3">
      <c r="A159" s="35" t="s">
        <v>15</v>
      </c>
      <c r="B159" s="108">
        <f>COUNTIF($A$19:A159,A159)</f>
        <v>11</v>
      </c>
      <c r="C159" s="36" t="s">
        <v>176</v>
      </c>
      <c r="D159" s="37">
        <f>8500000+1700000</f>
        <v>10200000</v>
      </c>
      <c r="E159" s="37">
        <f>0+1275000+1807000+1807000+3613000</f>
        <v>8502000</v>
      </c>
      <c r="F159" s="37">
        <f>D159-E159</f>
        <v>1698000</v>
      </c>
    </row>
    <row r="160" spans="1:6" hidden="1" x14ac:dyDescent="0.3">
      <c r="A160" s="35" t="s">
        <v>17</v>
      </c>
      <c r="B160" s="108">
        <f>COUNTIF($A$19:A160,A160)</f>
        <v>12</v>
      </c>
      <c r="C160" s="36" t="s">
        <v>177</v>
      </c>
      <c r="D160" s="37">
        <f>8500000+1700000</f>
        <v>10200000</v>
      </c>
      <c r="E160" s="37">
        <f>0+275000+1806000+1000000+1806000+1810000+1805000</f>
        <v>8502000</v>
      </c>
      <c r="F160" s="37">
        <f>D160-E160</f>
        <v>1698000</v>
      </c>
    </row>
    <row r="161" spans="1:7" hidden="1" x14ac:dyDescent="0.3">
      <c r="A161" s="35" t="s">
        <v>27</v>
      </c>
      <c r="B161" s="108">
        <f>COUNTIF($A$19:A161,A161)</f>
        <v>9</v>
      </c>
      <c r="C161" s="36" t="s">
        <v>178</v>
      </c>
      <c r="D161" s="37">
        <f>8500000+1700000</f>
        <v>10200000</v>
      </c>
      <c r="E161" s="37">
        <f>1275000+3050000+3900000+277000</f>
        <v>8502000</v>
      </c>
      <c r="F161" s="37">
        <f>D161-E161</f>
        <v>1698000</v>
      </c>
    </row>
    <row r="162" spans="1:7" hidden="1" x14ac:dyDescent="0.3">
      <c r="A162" s="35" t="s">
        <v>19</v>
      </c>
      <c r="B162" s="108">
        <f>COUNTIF($A$19:A162,A162)</f>
        <v>11</v>
      </c>
      <c r="C162" s="36" t="s">
        <v>179</v>
      </c>
      <c r="D162" s="37">
        <f>8500000+1700000</f>
        <v>10200000</v>
      </c>
      <c r="E162" s="37">
        <f>1250000+1832000+1810000+1810000+1100000+700000</f>
        <v>8502000</v>
      </c>
      <c r="F162" s="37">
        <f>D162-E162</f>
        <v>1698000</v>
      </c>
    </row>
    <row r="163" spans="1:7" hidden="1" x14ac:dyDescent="0.3">
      <c r="A163" s="35" t="s">
        <v>25</v>
      </c>
      <c r="B163" s="108">
        <f>COUNTIF($A$19:A163,A163)</f>
        <v>10</v>
      </c>
      <c r="C163" s="36" t="s">
        <v>180</v>
      </c>
      <c r="D163" s="37">
        <f>8500000+1700000</f>
        <v>10200000</v>
      </c>
      <c r="E163" s="37">
        <f>1275000+4772000+650000+1805000</f>
        <v>8502000</v>
      </c>
      <c r="F163" s="37">
        <f>D163-E163</f>
        <v>1698000</v>
      </c>
    </row>
    <row r="164" spans="1:7" hidden="1" x14ac:dyDescent="0.3">
      <c r="A164" s="35" t="s">
        <v>19</v>
      </c>
      <c r="B164" s="108">
        <f>COUNTIF($A$19:A164,A164)</f>
        <v>12</v>
      </c>
      <c r="C164" s="36" t="s">
        <v>181</v>
      </c>
      <c r="D164" s="37">
        <f>8500000+1700000</f>
        <v>10200000</v>
      </c>
      <c r="E164" s="37">
        <f>2500000+600000+1790000+1212000+2400000</f>
        <v>8502000</v>
      </c>
      <c r="F164" s="37">
        <f>D164-E164</f>
        <v>1698000</v>
      </c>
    </row>
    <row r="165" spans="1:7" hidden="1" x14ac:dyDescent="0.3">
      <c r="A165" s="35" t="s">
        <v>19</v>
      </c>
      <c r="B165" s="108">
        <f>COUNTIF($A$19:A165,A165)</f>
        <v>13</v>
      </c>
      <c r="C165" s="36" t="s">
        <v>182</v>
      </c>
      <c r="D165" s="37">
        <f>8500000+1700000</f>
        <v>10200000</v>
      </c>
      <c r="E165" s="37">
        <f>1275000+1807000+1800000+1810000+1810000</f>
        <v>8502000</v>
      </c>
      <c r="F165" s="37">
        <f>D165-E165</f>
        <v>1698000</v>
      </c>
    </row>
    <row r="166" spans="1:7" hidden="1" x14ac:dyDescent="0.3">
      <c r="A166" s="35" t="s">
        <v>25</v>
      </c>
      <c r="B166" s="108">
        <f>COUNTIF($A$19:A166,A166)</f>
        <v>11</v>
      </c>
      <c r="C166" s="36" t="s">
        <v>183</v>
      </c>
      <c r="D166" s="37">
        <f>8500000+1700000</f>
        <v>10200000</v>
      </c>
      <c r="E166" s="37">
        <f>1275000+1807000+1807000+1807000+1806250</f>
        <v>8502250</v>
      </c>
      <c r="F166" s="37">
        <f>D166-E166</f>
        <v>1697750</v>
      </c>
    </row>
    <row r="167" spans="1:7" hidden="1" x14ac:dyDescent="0.3">
      <c r="A167" s="35" t="s">
        <v>25</v>
      </c>
      <c r="B167" s="108">
        <f>COUNTIF($A$19:A167,A167)</f>
        <v>12</v>
      </c>
      <c r="C167" s="36" t="s">
        <v>184</v>
      </c>
      <c r="D167" s="37">
        <f>8500000+1700000</f>
        <v>10200000</v>
      </c>
      <c r="E167" s="37">
        <f>1275000+1807000+1807000+1807000+1806250</f>
        <v>8502250</v>
      </c>
      <c r="F167" s="37">
        <f>D167-E167</f>
        <v>1697750</v>
      </c>
    </row>
    <row r="168" spans="1:7" hidden="1" x14ac:dyDescent="0.3">
      <c r="A168" s="35" t="s">
        <v>24</v>
      </c>
      <c r="B168" s="108">
        <f>COUNTIF($A$19:A168,A168)</f>
        <v>20</v>
      </c>
      <c r="C168" s="36" t="s">
        <v>185</v>
      </c>
      <c r="D168" s="37">
        <f>8500000+1700000</f>
        <v>10200000</v>
      </c>
      <c r="E168" s="37">
        <f>3100000+1788000+1800000+1815000</f>
        <v>8503000</v>
      </c>
      <c r="F168" s="37">
        <f>D168-E168</f>
        <v>1697000</v>
      </c>
    </row>
    <row r="169" spans="1:7" hidden="1" x14ac:dyDescent="0.3">
      <c r="A169" s="35" t="s">
        <v>5</v>
      </c>
      <c r="B169" s="108">
        <f>COUNTIF($A$19:A169,A169)</f>
        <v>15</v>
      </c>
      <c r="C169" s="36" t="s">
        <v>186</v>
      </c>
      <c r="D169" s="37">
        <f>8500000+1700000+1700000+1700000+1700000+1700000+1700000</f>
        <v>18700000</v>
      </c>
      <c r="E169" s="37">
        <f>8314000+3585000+2300000+2804000</f>
        <v>17003000</v>
      </c>
      <c r="F169" s="37">
        <f>D169-E169</f>
        <v>1697000</v>
      </c>
    </row>
    <row r="170" spans="1:7" hidden="1" x14ac:dyDescent="0.3">
      <c r="A170" s="35" t="s">
        <v>23</v>
      </c>
      <c r="B170" s="108">
        <f>COUNTIF($A$19:A170,A170)</f>
        <v>10</v>
      </c>
      <c r="C170" s="36" t="s">
        <v>187</v>
      </c>
      <c r="D170" s="37">
        <f>8500000+1700000</f>
        <v>10200000</v>
      </c>
      <c r="E170" s="37">
        <f>2000000+2888000+2000000+1615000</f>
        <v>8503000</v>
      </c>
      <c r="F170" s="37">
        <f>D170-E170</f>
        <v>1697000</v>
      </c>
    </row>
    <row r="171" spans="1:7" hidden="1" x14ac:dyDescent="0.3">
      <c r="A171" s="47" t="s">
        <v>24</v>
      </c>
      <c r="B171" s="108">
        <f>COUNTIF($A$19:A171,A171)</f>
        <v>21</v>
      </c>
      <c r="C171" s="36" t="s">
        <v>188</v>
      </c>
      <c r="D171" s="37">
        <f>8500000+1700000</f>
        <v>10200000</v>
      </c>
      <c r="E171" s="37">
        <f>3085000+1806000+1806000+1807000</f>
        <v>8504000</v>
      </c>
      <c r="F171" s="37">
        <f>D171-E171</f>
        <v>1696000</v>
      </c>
    </row>
    <row r="172" spans="1:7" hidden="1" x14ac:dyDescent="0.3">
      <c r="A172" s="35" t="s">
        <v>7</v>
      </c>
      <c r="B172" s="108">
        <f>COUNTIF($A$19:A172,A172)</f>
        <v>18</v>
      </c>
      <c r="C172" s="36" t="s">
        <v>189</v>
      </c>
      <c r="D172" s="37">
        <f>8500000+1700000+1700000+1700000+1700000+1700000+1700000</f>
        <v>18700000</v>
      </c>
      <c r="E172" s="37">
        <v>18731000</v>
      </c>
      <c r="F172" s="37">
        <f>D172-E172</f>
        <v>-31000</v>
      </c>
    </row>
    <row r="173" spans="1:7" hidden="1" x14ac:dyDescent="0.3">
      <c r="A173" s="35" t="s">
        <v>5</v>
      </c>
      <c r="B173" s="108">
        <f>COUNTIF($A$19:A173,A173)</f>
        <v>16</v>
      </c>
      <c r="C173" s="36" t="s">
        <v>190</v>
      </c>
      <c r="D173" s="37">
        <f>8500000+1700000+1700000+1700000+1700000+1700000+1700000</f>
        <v>18700000</v>
      </c>
      <c r="E173" s="37">
        <v>18300000</v>
      </c>
      <c r="F173" s="37">
        <f>D173-E173</f>
        <v>400000</v>
      </c>
    </row>
    <row r="174" spans="1:7" hidden="1" x14ac:dyDescent="0.3">
      <c r="A174" s="35" t="s">
        <v>9</v>
      </c>
      <c r="B174" s="108">
        <f>COUNTIF($A$19:A174,A174)</f>
        <v>11</v>
      </c>
      <c r="C174" s="36" t="s">
        <v>191</v>
      </c>
      <c r="D174" s="37">
        <f>8500000+1700000+1700000+1700000+1700000+1700000+1700000</f>
        <v>18700000</v>
      </c>
      <c r="E174" s="37">
        <f>8505000+8500000</f>
        <v>17005000</v>
      </c>
      <c r="F174" s="37">
        <f>D174-E174</f>
        <v>1695000</v>
      </c>
    </row>
    <row r="175" spans="1:7" hidden="1" x14ac:dyDescent="0.3">
      <c r="A175" s="35" t="s">
        <v>27</v>
      </c>
      <c r="B175" s="108">
        <f>COUNTIF($A$19:A175,A175)</f>
        <v>10</v>
      </c>
      <c r="C175" s="36" t="s">
        <v>192</v>
      </c>
      <c r="D175" s="37">
        <f>8500000+1700000</f>
        <v>10200000</v>
      </c>
      <c r="E175" s="37">
        <f>0+1275000+4000000+3230000</f>
        <v>8505000</v>
      </c>
      <c r="F175" s="37">
        <f>D175-E175</f>
        <v>1695000</v>
      </c>
      <c r="G175" s="28"/>
    </row>
    <row r="176" spans="1:7" hidden="1" x14ac:dyDescent="0.3">
      <c r="A176" s="35" t="s">
        <v>21</v>
      </c>
      <c r="B176" s="108">
        <f>COUNTIF($A$19:A176,A176)</f>
        <v>12</v>
      </c>
      <c r="C176" s="36" t="s">
        <v>193</v>
      </c>
      <c r="D176" s="37">
        <f>8500000+1700000</f>
        <v>10200000</v>
      </c>
      <c r="E176" s="37">
        <f>0+1225000+1600000+400000+3000000+2280000</f>
        <v>8505000</v>
      </c>
      <c r="F176" s="37">
        <f>D176-E176</f>
        <v>1695000</v>
      </c>
      <c r="G176" s="28"/>
    </row>
    <row r="177" spans="1:6" hidden="1" x14ac:dyDescent="0.3">
      <c r="A177" s="35" t="s">
        <v>19</v>
      </c>
      <c r="B177" s="108">
        <f>COUNTIF($A$19:A177,A177)</f>
        <v>14</v>
      </c>
      <c r="C177" s="36" t="s">
        <v>194</v>
      </c>
      <c r="D177" s="37">
        <f>8500000+1700000</f>
        <v>10200000</v>
      </c>
      <c r="E177" s="37">
        <f>2776000+305000+1806000+500000+500000+800000+500000+320000+1000000</f>
        <v>8507000</v>
      </c>
      <c r="F177" s="37">
        <f>D177-E177</f>
        <v>1693000</v>
      </c>
    </row>
    <row r="178" spans="1:6" hidden="1" x14ac:dyDescent="0.3">
      <c r="A178" s="35" t="s">
        <v>15</v>
      </c>
      <c r="B178" s="108">
        <f>COUNTIF($A$19:A178,A178)</f>
        <v>12</v>
      </c>
      <c r="C178" s="36" t="s">
        <v>195</v>
      </c>
      <c r="D178" s="37">
        <f>8500000+1700000</f>
        <v>10200000</v>
      </c>
      <c r="E178" s="37">
        <v>10207600</v>
      </c>
      <c r="F178" s="37">
        <f>D178-E178</f>
        <v>-7600</v>
      </c>
    </row>
    <row r="179" spans="1:6" hidden="1" x14ac:dyDescent="0.3">
      <c r="A179" s="47" t="s">
        <v>24</v>
      </c>
      <c r="B179" s="108">
        <f>COUNTIF($A$19:A179,A179)</f>
        <v>22</v>
      </c>
      <c r="C179" s="36" t="s">
        <v>196</v>
      </c>
      <c r="D179" s="37">
        <f>8500000+1700000</f>
        <v>10200000</v>
      </c>
      <c r="E179" s="37">
        <f>1500000+1625000+1765000+3620000</f>
        <v>8510000</v>
      </c>
      <c r="F179" s="37">
        <f>D179-E179</f>
        <v>1690000</v>
      </c>
    </row>
    <row r="180" spans="1:6" hidden="1" x14ac:dyDescent="0.3">
      <c r="A180" s="35" t="s">
        <v>24</v>
      </c>
      <c r="B180" s="108">
        <f>COUNTIF($A$19:A180,A180)</f>
        <v>23</v>
      </c>
      <c r="C180" s="36" t="s">
        <v>197</v>
      </c>
      <c r="D180" s="37">
        <f>8500000+1700000</f>
        <v>10200000</v>
      </c>
      <c r="E180" s="37">
        <f>0+1275000+1810000+1810000+1810000+1810000</f>
        <v>8515000</v>
      </c>
      <c r="F180" s="37">
        <f>D180-E180</f>
        <v>1685000</v>
      </c>
    </row>
    <row r="181" spans="1:6" hidden="1" x14ac:dyDescent="0.3">
      <c r="A181" s="35" t="s">
        <v>27</v>
      </c>
      <c r="B181" s="108">
        <f>COUNTIF($A$19:A181,A181)</f>
        <v>11</v>
      </c>
      <c r="C181" s="36" t="s">
        <v>198</v>
      </c>
      <c r="D181" s="37">
        <f>8500000+1700000</f>
        <v>10200000</v>
      </c>
      <c r="E181" s="37">
        <f>5625000+1450000+1450000</f>
        <v>8525000</v>
      </c>
      <c r="F181" s="37">
        <f>D181-E181</f>
        <v>1675000</v>
      </c>
    </row>
    <row r="182" spans="1:6" hidden="1" x14ac:dyDescent="0.3">
      <c r="A182" s="35" t="s">
        <v>27</v>
      </c>
      <c r="B182" s="108">
        <f>COUNTIF($A$19:A182,A182)</f>
        <v>12</v>
      </c>
      <c r="C182" s="36" t="s">
        <v>199</v>
      </c>
      <c r="D182" s="37">
        <f>8500000+1700000</f>
        <v>10200000</v>
      </c>
      <c r="E182" s="37">
        <f>1000000+275000+1200000+6050000</f>
        <v>8525000</v>
      </c>
      <c r="F182" s="37">
        <f>D182-E182</f>
        <v>1675000</v>
      </c>
    </row>
    <row r="183" spans="1:6" hidden="1" x14ac:dyDescent="0.3">
      <c r="A183" s="35" t="s">
        <v>24</v>
      </c>
      <c r="B183" s="108">
        <f>COUNTIF($A$19:A183,A183)</f>
        <v>24</v>
      </c>
      <c r="C183" s="36" t="s">
        <v>200</v>
      </c>
      <c r="D183" s="37">
        <f>8500000+1700000</f>
        <v>10200000</v>
      </c>
      <c r="E183" s="37">
        <v>8525000</v>
      </c>
      <c r="F183" s="37">
        <f>D183-E183</f>
        <v>1675000</v>
      </c>
    </row>
    <row r="184" spans="1:6" hidden="1" x14ac:dyDescent="0.3">
      <c r="A184" s="35" t="s">
        <v>25</v>
      </c>
      <c r="B184" s="108">
        <f>COUNTIF($A$19:A184,A184)</f>
        <v>13</v>
      </c>
      <c r="C184" s="36" t="s">
        <v>201</v>
      </c>
      <c r="D184" s="37">
        <f>8500000+1700000</f>
        <v>10200000</v>
      </c>
      <c r="E184" s="37">
        <v>8526000</v>
      </c>
      <c r="F184" s="37">
        <f>D184-E184</f>
        <v>1674000</v>
      </c>
    </row>
    <row r="185" spans="1:6" hidden="1" x14ac:dyDescent="0.3">
      <c r="A185" s="35" t="s">
        <v>19</v>
      </c>
      <c r="B185" s="108">
        <f>COUNTIF($A$19:A185,A185)</f>
        <v>15</v>
      </c>
      <c r="C185" s="36" t="s">
        <v>202</v>
      </c>
      <c r="D185" s="37">
        <f>8500000+1700000</f>
        <v>10200000</v>
      </c>
      <c r="E185" s="37">
        <f>1280000+1800000+1800000+1000000+800000+1850000</f>
        <v>8530000</v>
      </c>
      <c r="F185" s="37">
        <f>D185-E185</f>
        <v>1670000</v>
      </c>
    </row>
    <row r="186" spans="1:6" hidden="1" x14ac:dyDescent="0.3">
      <c r="A186" s="35" t="s">
        <v>27</v>
      </c>
      <c r="B186" s="108">
        <f>COUNTIF($A$19:A186,A186)</f>
        <v>13</v>
      </c>
      <c r="C186" s="36" t="s">
        <v>203</v>
      </c>
      <c r="D186" s="37">
        <f>8500000+1700000</f>
        <v>10200000</v>
      </c>
      <c r="E186" s="37">
        <f>1275000+1800000+30000+2386000+3040000</f>
        <v>8531000</v>
      </c>
      <c r="F186" s="37">
        <f>D186-E186</f>
        <v>1669000</v>
      </c>
    </row>
    <row r="187" spans="1:6" hidden="1" x14ac:dyDescent="0.3">
      <c r="A187" s="35" t="s">
        <v>25</v>
      </c>
      <c r="B187" s="108">
        <f>COUNTIF($A$19:A187,A187)</f>
        <v>14</v>
      </c>
      <c r="C187" s="36" t="s">
        <v>204</v>
      </c>
      <c r="D187" s="37">
        <f>8500000+1700000</f>
        <v>10200000</v>
      </c>
      <c r="E187" s="37">
        <v>10231250</v>
      </c>
      <c r="F187" s="37">
        <f>D187-E187</f>
        <v>-31250</v>
      </c>
    </row>
    <row r="188" spans="1:6" hidden="1" x14ac:dyDescent="0.3">
      <c r="A188" s="35" t="s">
        <v>9</v>
      </c>
      <c r="B188" s="108">
        <f>COUNTIF($A$19:A188,A188)</f>
        <v>12</v>
      </c>
      <c r="C188" s="36" t="s">
        <v>205</v>
      </c>
      <c r="D188" s="37">
        <f>1700000+1700000+1700000+1700000+1700000+1700000</f>
        <v>10200000</v>
      </c>
      <c r="E188" s="37">
        <f>3627000+1500000+1208500+1500000+700000</f>
        <v>8535500</v>
      </c>
      <c r="F188" s="37">
        <f>D188-E188</f>
        <v>1664500</v>
      </c>
    </row>
    <row r="189" spans="1:6" hidden="1" x14ac:dyDescent="0.3">
      <c r="A189" s="35" t="s">
        <v>23</v>
      </c>
      <c r="B189" s="108">
        <f>COUNTIF($A$19:A189,A189)</f>
        <v>11</v>
      </c>
      <c r="C189" s="36" t="s">
        <v>206</v>
      </c>
      <c r="D189" s="37">
        <f>8500000+1700000</f>
        <v>10200000</v>
      </c>
      <c r="E189" s="37">
        <f>2125000+2400000+1818000+2200000</f>
        <v>8543000</v>
      </c>
      <c r="F189" s="37">
        <f>D189-E189</f>
        <v>1657000</v>
      </c>
    </row>
    <row r="190" spans="1:6" hidden="1" x14ac:dyDescent="0.3">
      <c r="A190" s="35" t="s">
        <v>5</v>
      </c>
      <c r="B190" s="108">
        <f>COUNTIF($A$19:A190,A190)</f>
        <v>17</v>
      </c>
      <c r="C190" s="36" t="s">
        <v>207</v>
      </c>
      <c r="D190" s="37">
        <f>8500000+1700000+1700000+1700000+1700000+1700000+1700000</f>
        <v>18700000</v>
      </c>
      <c r="E190" s="37">
        <f>8500000+2000000+1150000+2000000+1900000+1000000+500000</f>
        <v>17050000</v>
      </c>
      <c r="F190" s="37">
        <f>D190-E190</f>
        <v>1650000</v>
      </c>
    </row>
    <row r="191" spans="1:6" hidden="1" x14ac:dyDescent="0.3">
      <c r="A191" s="35" t="s">
        <v>5</v>
      </c>
      <c r="B191" s="108">
        <f>COUNTIF($A$19:A191,A191)</f>
        <v>18</v>
      </c>
      <c r="C191" s="36" t="s">
        <v>208</v>
      </c>
      <c r="D191" s="37">
        <f>8500000+1700000+1700000+1700000+1700000+1700000+1700000</f>
        <v>18700000</v>
      </c>
      <c r="E191" s="37">
        <f>8573000+1700000+1200000+500000+1700000+1700000+1700000</f>
        <v>17073000</v>
      </c>
      <c r="F191" s="37">
        <f>D191-E191</f>
        <v>1627000</v>
      </c>
    </row>
    <row r="192" spans="1:6" hidden="1" x14ac:dyDescent="0.3">
      <c r="A192" s="35" t="s">
        <v>27</v>
      </c>
      <c r="B192" s="108">
        <f>COUNTIF($A$19:A192,A192)</f>
        <v>14</v>
      </c>
      <c r="C192" s="36" t="s">
        <v>209</v>
      </c>
      <c r="D192" s="37">
        <f>8500000+1700000</f>
        <v>10200000</v>
      </c>
      <c r="E192" s="37">
        <f>1275000+1810000+1810000+3700000</f>
        <v>8595000</v>
      </c>
      <c r="F192" s="37">
        <f>D192-E192</f>
        <v>1605000</v>
      </c>
    </row>
    <row r="193" spans="1:6" hidden="1" x14ac:dyDescent="0.3">
      <c r="A193" s="35" t="s">
        <v>23</v>
      </c>
      <c r="B193" s="108">
        <f>COUNTIF($A$19:A193,A193)</f>
        <v>12</v>
      </c>
      <c r="C193" s="36" t="s">
        <v>210</v>
      </c>
      <c r="D193" s="37">
        <f>8500000+1700000</f>
        <v>10200000</v>
      </c>
      <c r="E193" s="37">
        <f>1700000+1600000+3400000+1900000</f>
        <v>8600000</v>
      </c>
      <c r="F193" s="37">
        <f>D193-E193</f>
        <v>1600000</v>
      </c>
    </row>
    <row r="194" spans="1:6" hidden="1" x14ac:dyDescent="0.3">
      <c r="A194" s="35" t="s">
        <v>15</v>
      </c>
      <c r="B194" s="108">
        <f>COUNTIF($A$19:A194,A194)</f>
        <v>13</v>
      </c>
      <c r="C194" s="36" t="s">
        <v>211</v>
      </c>
      <c r="D194" s="37">
        <f>8500000+1700000</f>
        <v>10200000</v>
      </c>
      <c r="E194" s="37">
        <f>2000000+1100000+2000000+2000000+1500000</f>
        <v>8600000</v>
      </c>
      <c r="F194" s="37">
        <f>D194-E194</f>
        <v>1600000</v>
      </c>
    </row>
    <row r="195" spans="1:6" hidden="1" x14ac:dyDescent="0.3">
      <c r="A195" s="35" t="s">
        <v>11</v>
      </c>
      <c r="B195" s="108">
        <f>COUNTIF($A$19:A195,A195)</f>
        <v>2</v>
      </c>
      <c r="C195" s="36" t="s">
        <v>212</v>
      </c>
      <c r="D195" s="37">
        <f>2*8500000*3/4</f>
        <v>12750000</v>
      </c>
      <c r="E195" s="37">
        <f>7800000+1000000+2400000</f>
        <v>11200000</v>
      </c>
      <c r="F195" s="37">
        <f>D195-E195</f>
        <v>1550000</v>
      </c>
    </row>
    <row r="196" spans="1:6" hidden="1" x14ac:dyDescent="0.3">
      <c r="A196" s="35" t="s">
        <v>17</v>
      </c>
      <c r="B196" s="108">
        <f>COUNTIF($A$19:A196,A196)</f>
        <v>13</v>
      </c>
      <c r="C196" s="36" t="s">
        <v>213</v>
      </c>
      <c r="D196" s="37">
        <f>8500000+1700000</f>
        <v>10200000</v>
      </c>
      <c r="E196" s="37">
        <f>2807000+3000000+2000000+863000</f>
        <v>8670000</v>
      </c>
      <c r="F196" s="37">
        <f>D196-E196</f>
        <v>1530000</v>
      </c>
    </row>
    <row r="197" spans="1:6" hidden="1" x14ac:dyDescent="0.3">
      <c r="A197" s="35" t="s">
        <v>27</v>
      </c>
      <c r="B197" s="108">
        <f>COUNTIF($A$19:A199,A197)</f>
        <v>15</v>
      </c>
      <c r="C197" s="36" t="s">
        <v>214</v>
      </c>
      <c r="D197" s="37">
        <f>4500000+1700000</f>
        <v>6200000</v>
      </c>
      <c r="E197" s="37">
        <f>1275000+1200000+1200000+1215000</f>
        <v>4890000</v>
      </c>
      <c r="F197" s="37">
        <f>D197-E197</f>
        <v>1310000</v>
      </c>
    </row>
    <row r="198" spans="1:6" hidden="1" x14ac:dyDescent="0.3">
      <c r="A198" s="35" t="s">
        <v>21</v>
      </c>
      <c r="B198" s="108">
        <f>COUNTIF($A$19:A198,A198)</f>
        <v>13</v>
      </c>
      <c r="C198" s="36" t="s">
        <v>215</v>
      </c>
      <c r="D198" s="37">
        <f>8500000+1700000</f>
        <v>10200000</v>
      </c>
      <c r="E198" s="37">
        <f>1275000+8000000</f>
        <v>9275000</v>
      </c>
      <c r="F198" s="37">
        <f>D198-E198</f>
        <v>925000</v>
      </c>
    </row>
    <row r="199" spans="1:6" hidden="1" x14ac:dyDescent="0.3">
      <c r="A199" s="35" t="s">
        <v>25</v>
      </c>
      <c r="B199" s="108">
        <f>COUNTIF($A$19:A199,A199)</f>
        <v>15</v>
      </c>
      <c r="C199" s="36" t="s">
        <v>216</v>
      </c>
      <c r="D199" s="37">
        <f>8500000+1700000</f>
        <v>10200000</v>
      </c>
      <c r="E199" s="37">
        <v>9350000</v>
      </c>
      <c r="F199" s="37">
        <f>D199-E199</f>
        <v>850000</v>
      </c>
    </row>
    <row r="200" spans="1:6" hidden="1" x14ac:dyDescent="0.3">
      <c r="A200" s="35" t="s">
        <v>17</v>
      </c>
      <c r="B200" s="108">
        <f>COUNTIF($A$19:A200,A200)</f>
        <v>14</v>
      </c>
      <c r="C200" s="36" t="s">
        <v>217</v>
      </c>
      <c r="D200" s="37">
        <f>8500000+1700000</f>
        <v>10200000</v>
      </c>
      <c r="E200" s="37">
        <v>9400000</v>
      </c>
      <c r="F200" s="37">
        <f>D200-E200</f>
        <v>800000</v>
      </c>
    </row>
    <row r="201" spans="1:6" x14ac:dyDescent="0.3">
      <c r="A201" s="35" t="s">
        <v>13</v>
      </c>
      <c r="B201" s="108">
        <f>COUNTIF($A$19:A201,A201)</f>
        <v>12</v>
      </c>
      <c r="C201" s="36" t="s">
        <v>53</v>
      </c>
      <c r="D201" s="37">
        <f>2*8500000*3/4</f>
        <v>12750000</v>
      </c>
      <c r="E201" s="37">
        <v>13000000</v>
      </c>
      <c r="F201" s="37">
        <f>D201-E201</f>
        <v>-250000</v>
      </c>
    </row>
    <row r="202" spans="1:6" hidden="1" x14ac:dyDescent="0.3">
      <c r="A202" s="35" t="s">
        <v>24</v>
      </c>
      <c r="B202" s="108">
        <f>COUNTIF($A$19:A202,A202)</f>
        <v>25</v>
      </c>
      <c r="C202" s="36" t="s">
        <v>219</v>
      </c>
      <c r="D202" s="37">
        <f>8500000+1700000</f>
        <v>10200000</v>
      </c>
      <c r="E202" s="37">
        <v>9500000</v>
      </c>
      <c r="F202" s="37">
        <f>D202-E202</f>
        <v>700000</v>
      </c>
    </row>
    <row r="203" spans="1:6" hidden="1" x14ac:dyDescent="0.3">
      <c r="A203" s="35" t="s">
        <v>21</v>
      </c>
      <c r="B203" s="108">
        <f>COUNTIF($A$19:A203,A203)</f>
        <v>14</v>
      </c>
      <c r="C203" s="36" t="s">
        <v>220</v>
      </c>
      <c r="D203" s="37">
        <f>8500000+1700000</f>
        <v>10200000</v>
      </c>
      <c r="E203" s="37">
        <v>9500000</v>
      </c>
      <c r="F203" s="37">
        <f>D203-E203</f>
        <v>700000</v>
      </c>
    </row>
    <row r="204" spans="1:6" hidden="1" x14ac:dyDescent="0.3">
      <c r="A204" s="35" t="s">
        <v>9</v>
      </c>
      <c r="B204" s="108">
        <f>COUNTIF($A$19:A204,A204)</f>
        <v>13</v>
      </c>
      <c r="C204" s="36" t="s">
        <v>221</v>
      </c>
      <c r="D204" s="37">
        <f>8500000+1700000+1700000+1700000+1700000+1700000+1700000</f>
        <v>18700000</v>
      </c>
      <c r="E204" s="37">
        <v>18000000</v>
      </c>
      <c r="F204" s="37">
        <f>D204-E204</f>
        <v>700000</v>
      </c>
    </row>
    <row r="205" spans="1:6" hidden="1" x14ac:dyDescent="0.3">
      <c r="A205" s="35" t="s">
        <v>5</v>
      </c>
      <c r="B205" s="108">
        <f>COUNTIF($A$19:A205,A205)</f>
        <v>19</v>
      </c>
      <c r="C205" s="36" t="s">
        <v>222</v>
      </c>
      <c r="D205" s="37">
        <f>8500000+1700000+1700000+1700000+1700000+1700000+1700000</f>
        <v>18700000</v>
      </c>
      <c r="E205" s="37">
        <v>18001000</v>
      </c>
      <c r="F205" s="37">
        <f>D205-E205</f>
        <v>699000</v>
      </c>
    </row>
    <row r="206" spans="1:6" hidden="1" x14ac:dyDescent="0.3">
      <c r="A206" s="35" t="s">
        <v>25</v>
      </c>
      <c r="B206" s="108">
        <f>COUNTIF($A$19:A206,A206)</f>
        <v>16</v>
      </c>
      <c r="C206" s="36" t="s">
        <v>223</v>
      </c>
      <c r="D206" s="37">
        <f>8500000+1700000</f>
        <v>10200000</v>
      </c>
      <c r="E206" s="37">
        <v>9505000</v>
      </c>
      <c r="F206" s="37">
        <f>D206-E206</f>
        <v>695000</v>
      </c>
    </row>
    <row r="207" spans="1:6" hidden="1" x14ac:dyDescent="0.3">
      <c r="A207" s="35" t="s">
        <v>21</v>
      </c>
      <c r="B207" s="108">
        <f>COUNTIF($A$19:A207,A207)</f>
        <v>15</v>
      </c>
      <c r="C207" s="36" t="s">
        <v>224</v>
      </c>
      <c r="D207" s="37">
        <f>8500000+1700000</f>
        <v>10200000</v>
      </c>
      <c r="E207" s="37">
        <f>6550000+1100000+1997000</f>
        <v>9647000</v>
      </c>
      <c r="F207" s="37">
        <f>D207-E207</f>
        <v>553000</v>
      </c>
    </row>
    <row r="208" spans="1:6" hidden="1" x14ac:dyDescent="0.3">
      <c r="A208" s="35" t="s">
        <v>5</v>
      </c>
      <c r="B208" s="108">
        <f>COUNTIF($A$19:A208,A208)</f>
        <v>20</v>
      </c>
      <c r="C208" s="36" t="s">
        <v>225</v>
      </c>
      <c r="D208" s="37">
        <f>8500000+1700000+1700000+1700000+1700000+1700000+1700000</f>
        <v>18700000</v>
      </c>
      <c r="E208" s="37">
        <v>18151000</v>
      </c>
      <c r="F208" s="37">
        <f>D208-E208</f>
        <v>549000</v>
      </c>
    </row>
    <row r="209" spans="1:6" hidden="1" x14ac:dyDescent="0.3">
      <c r="A209" s="35" t="s">
        <v>23</v>
      </c>
      <c r="B209" s="108">
        <f>COUNTIF($A$19:A209,A209)</f>
        <v>13</v>
      </c>
      <c r="C209" s="36" t="s">
        <v>226</v>
      </c>
      <c r="D209" s="37">
        <f>8500000+1700000</f>
        <v>10200000</v>
      </c>
      <c r="E209" s="37">
        <f>1275000+2150000+2000000+4250000</f>
        <v>9675000</v>
      </c>
      <c r="F209" s="37">
        <f>D209-E209</f>
        <v>525000</v>
      </c>
    </row>
    <row r="210" spans="1:6" hidden="1" x14ac:dyDescent="0.3">
      <c r="A210" s="35" t="s">
        <v>19</v>
      </c>
      <c r="B210" s="108">
        <f>COUNTIF($A$19:A210,A210)</f>
        <v>16</v>
      </c>
      <c r="C210" s="36" t="s">
        <v>227</v>
      </c>
      <c r="D210" s="37">
        <f>8500000+1700000</f>
        <v>10200000</v>
      </c>
      <c r="E210" s="37">
        <v>9700000</v>
      </c>
      <c r="F210" s="37">
        <f>D210-E210</f>
        <v>500000</v>
      </c>
    </row>
    <row r="211" spans="1:6" hidden="1" x14ac:dyDescent="0.3">
      <c r="A211" s="35" t="s">
        <v>19</v>
      </c>
      <c r="B211" s="108">
        <f>COUNTIF($A$19:A211,A211)</f>
        <v>17</v>
      </c>
      <c r="C211" s="36" t="s">
        <v>228</v>
      </c>
      <c r="D211" s="37">
        <f>8500000+1700000</f>
        <v>10200000</v>
      </c>
      <c r="E211" s="37">
        <f>0+1200000+8500000</f>
        <v>9700000</v>
      </c>
      <c r="F211" s="37">
        <f>D211-E211</f>
        <v>500000</v>
      </c>
    </row>
    <row r="212" spans="1:6" hidden="1" x14ac:dyDescent="0.3">
      <c r="A212" s="35" t="s">
        <v>19</v>
      </c>
      <c r="B212" s="108">
        <f>COUNTIF($A$19:A212,A212)</f>
        <v>18</v>
      </c>
      <c r="C212" s="36" t="s">
        <v>229</v>
      </c>
      <c r="D212" s="37">
        <f>8500000+1700000</f>
        <v>10200000</v>
      </c>
      <c r="E212" s="37">
        <v>9775000</v>
      </c>
      <c r="F212" s="37">
        <f>D212-E212</f>
        <v>425000</v>
      </c>
    </row>
    <row r="213" spans="1:6" hidden="1" x14ac:dyDescent="0.3">
      <c r="A213" s="35" t="s">
        <v>19</v>
      </c>
      <c r="B213" s="108">
        <f>COUNTIF($A$19:A213,A213)</f>
        <v>19</v>
      </c>
      <c r="C213" s="36" t="s">
        <v>230</v>
      </c>
      <c r="D213" s="37">
        <f>8500000+1700000</f>
        <v>10200000</v>
      </c>
      <c r="E213" s="37">
        <v>9775000</v>
      </c>
      <c r="F213" s="37">
        <f>D213-E213</f>
        <v>425000</v>
      </c>
    </row>
    <row r="214" spans="1:6" hidden="1" x14ac:dyDescent="0.3">
      <c r="A214" s="35" t="s">
        <v>19</v>
      </c>
      <c r="B214" s="108">
        <f>COUNTIF($A$19:A214,A214)</f>
        <v>20</v>
      </c>
      <c r="C214" s="36" t="s">
        <v>231</v>
      </c>
      <c r="D214" s="37">
        <f>8500000+1700000</f>
        <v>10200000</v>
      </c>
      <c r="E214" s="37">
        <v>9776007</v>
      </c>
      <c r="F214" s="37">
        <f>D214-E214</f>
        <v>423993</v>
      </c>
    </row>
    <row r="215" spans="1:6" hidden="1" x14ac:dyDescent="0.3">
      <c r="A215" s="35" t="s">
        <v>25</v>
      </c>
      <c r="B215" s="108">
        <f>COUNTIF($A$19:A215,A215)</f>
        <v>17</v>
      </c>
      <c r="C215" s="36" t="s">
        <v>232</v>
      </c>
      <c r="D215" s="37">
        <f>8500000+1700000</f>
        <v>10200000</v>
      </c>
      <c r="E215" s="37">
        <f>1275000+1806000+1807000+1807000+1807000+1275000</f>
        <v>9777000</v>
      </c>
      <c r="F215" s="37">
        <f>D215-E215</f>
        <v>423000</v>
      </c>
    </row>
    <row r="216" spans="1:6" hidden="1" x14ac:dyDescent="0.3">
      <c r="A216" s="35" t="s">
        <v>11</v>
      </c>
      <c r="B216" s="108">
        <f>COUNTIF($A$19:A216,A216)</f>
        <v>3</v>
      </c>
      <c r="C216" s="36" t="s">
        <v>233</v>
      </c>
      <c r="D216" s="37">
        <f>2*8500000*3/4</f>
        <v>12750000</v>
      </c>
      <c r="E216" s="37">
        <f>4500000+4000000+2000000+2000000</f>
        <v>12500000</v>
      </c>
      <c r="F216" s="37">
        <f>D216-E216</f>
        <v>250000</v>
      </c>
    </row>
    <row r="217" spans="1:6" hidden="1" x14ac:dyDescent="0.3">
      <c r="A217" s="35" t="s">
        <v>11</v>
      </c>
      <c r="B217" s="108">
        <f>COUNTIF($A$19:A217,A217)</f>
        <v>4</v>
      </c>
      <c r="C217" s="36" t="s">
        <v>234</v>
      </c>
      <c r="D217" s="37">
        <f>2*8500000*3/4</f>
        <v>12750000</v>
      </c>
      <c r="E217" s="37">
        <f>1500000+4000000+3000000+2000000+2000000</f>
        <v>12500000</v>
      </c>
      <c r="F217" s="37">
        <f>D217-E217</f>
        <v>250000</v>
      </c>
    </row>
    <row r="218" spans="1:6" hidden="1" x14ac:dyDescent="0.3">
      <c r="A218" s="35" t="s">
        <v>27</v>
      </c>
      <c r="B218" s="108">
        <f>COUNTIF($A$19:A218,A218)</f>
        <v>16</v>
      </c>
      <c r="C218" s="36" t="s">
        <v>235</v>
      </c>
      <c r="D218" s="37">
        <f>8500000+1700000</f>
        <v>10200000</v>
      </c>
      <c r="E218" s="37">
        <v>10000000</v>
      </c>
      <c r="F218" s="37">
        <f>D218-E218</f>
        <v>200000</v>
      </c>
    </row>
    <row r="219" spans="1:6" hidden="1" x14ac:dyDescent="0.3">
      <c r="A219" s="35" t="s">
        <v>17</v>
      </c>
      <c r="B219" s="108">
        <f>COUNTIF($A$19:A219,A219)</f>
        <v>15</v>
      </c>
      <c r="C219" s="36" t="s">
        <v>236</v>
      </c>
      <c r="D219" s="37">
        <f>8500000+1700000</f>
        <v>10200000</v>
      </c>
      <c r="E219" s="37">
        <v>10103000</v>
      </c>
      <c r="F219" s="37">
        <f>D219-E219</f>
        <v>97000</v>
      </c>
    </row>
    <row r="220" spans="1:6" hidden="1" x14ac:dyDescent="0.3">
      <c r="A220" s="35" t="s">
        <v>11</v>
      </c>
      <c r="B220" s="108">
        <f>COUNTIF($A$19:A220,A220)</f>
        <v>5</v>
      </c>
      <c r="C220" s="36" t="s">
        <v>237</v>
      </c>
      <c r="D220" s="37">
        <f>2*8500000*3/4</f>
        <v>12750000</v>
      </c>
      <c r="E220" s="37">
        <v>14550000</v>
      </c>
      <c r="F220" s="37">
        <f>D220-E220</f>
        <v>-1800000</v>
      </c>
    </row>
    <row r="221" spans="1:6" hidden="1" x14ac:dyDescent="0.3">
      <c r="A221" s="35" t="s">
        <v>9</v>
      </c>
      <c r="B221" s="108">
        <f>COUNTIF($A$19:A221,A221)</f>
        <v>14</v>
      </c>
      <c r="C221" s="36" t="s">
        <v>238</v>
      </c>
      <c r="D221" s="37">
        <f>8500000+1700000+1700000+1700000+1700000+1700000+1700000</f>
        <v>18700000</v>
      </c>
      <c r="E221" s="37">
        <v>18700000</v>
      </c>
      <c r="F221" s="37">
        <f>D221-E221</f>
        <v>0</v>
      </c>
    </row>
    <row r="222" spans="1:6" hidden="1" x14ac:dyDescent="0.3">
      <c r="A222" s="35" t="s">
        <v>9</v>
      </c>
      <c r="B222" s="108">
        <f>COUNTIF($A$19:A222,A222)</f>
        <v>15</v>
      </c>
      <c r="C222" s="36" t="s">
        <v>239</v>
      </c>
      <c r="D222" s="37">
        <f>8500000+1700000+1700000+1700000+1700000+1700000+1700000</f>
        <v>18700000</v>
      </c>
      <c r="E222" s="37">
        <v>18700000</v>
      </c>
      <c r="F222" s="37">
        <f>D222-E222</f>
        <v>0</v>
      </c>
    </row>
    <row r="223" spans="1:6" hidden="1" x14ac:dyDescent="0.3">
      <c r="A223" s="35" t="s">
        <v>21</v>
      </c>
      <c r="B223" s="108">
        <f>COUNTIF($A$19:A223,A223)</f>
        <v>16</v>
      </c>
      <c r="C223" s="36" t="s">
        <v>240</v>
      </c>
      <c r="D223" s="37">
        <f>8500000+1700000</f>
        <v>10200000</v>
      </c>
      <c r="E223" s="37">
        <v>10200000</v>
      </c>
      <c r="F223" s="37">
        <f>D223-E223</f>
        <v>0</v>
      </c>
    </row>
    <row r="224" spans="1:6" hidden="1" x14ac:dyDescent="0.3">
      <c r="A224" s="35" t="s">
        <v>9</v>
      </c>
      <c r="B224" s="108">
        <f>COUNTIF($A$19:A224,A224)</f>
        <v>16</v>
      </c>
      <c r="C224" s="36" t="s">
        <v>241</v>
      </c>
      <c r="D224" s="37">
        <f>8500000+1700000+1700000+1700000+1700000+1700000+1700000</f>
        <v>18700000</v>
      </c>
      <c r="E224" s="37">
        <v>18700000</v>
      </c>
      <c r="F224" s="37">
        <f>D224-E224</f>
        <v>0</v>
      </c>
    </row>
    <row r="225" spans="1:6" hidden="1" x14ac:dyDescent="0.3">
      <c r="A225" s="35" t="s">
        <v>15</v>
      </c>
      <c r="B225" s="108">
        <f>COUNTIF($A$19:A225,A225)</f>
        <v>14</v>
      </c>
      <c r="C225" s="36" t="s">
        <v>242</v>
      </c>
      <c r="D225" s="37">
        <f>8500000+1700000</f>
        <v>10200000</v>
      </c>
      <c r="E225" s="37">
        <v>10200000</v>
      </c>
      <c r="F225" s="37">
        <f>D225-E225</f>
        <v>0</v>
      </c>
    </row>
    <row r="226" spans="1:6" hidden="1" x14ac:dyDescent="0.3">
      <c r="A226" s="35" t="s">
        <v>15</v>
      </c>
      <c r="B226" s="108">
        <f>COUNTIF($A$19:A226,A226)</f>
        <v>15</v>
      </c>
      <c r="C226" s="36" t="s">
        <v>243</v>
      </c>
      <c r="D226" s="37">
        <f>8500000+1700000</f>
        <v>10200000</v>
      </c>
      <c r="E226" s="37">
        <v>10200000</v>
      </c>
      <c r="F226" s="37">
        <f>D226-E226</f>
        <v>0</v>
      </c>
    </row>
    <row r="227" spans="1:6" hidden="1" x14ac:dyDescent="0.3">
      <c r="A227" s="35" t="s">
        <v>19</v>
      </c>
      <c r="B227" s="108">
        <f>COUNTIF($A$19:A227,A227)</f>
        <v>21</v>
      </c>
      <c r="C227" s="36" t="s">
        <v>244</v>
      </c>
      <c r="D227" s="37">
        <f>8500000+1700000</f>
        <v>10200000</v>
      </c>
      <c r="E227" s="37">
        <v>10200000</v>
      </c>
      <c r="F227" s="37">
        <f>D227-E227</f>
        <v>0</v>
      </c>
    </row>
    <row r="228" spans="1:6" hidden="1" x14ac:dyDescent="0.3">
      <c r="A228" s="35" t="s">
        <v>9</v>
      </c>
      <c r="B228" s="108">
        <f>COUNTIF($A$19:A228,A228)</f>
        <v>17</v>
      </c>
      <c r="C228" s="36" t="s">
        <v>245</v>
      </c>
      <c r="D228" s="37">
        <f>8500000+1700000+1700000+1700000+1700000+1700000+1700000</f>
        <v>18700000</v>
      </c>
      <c r="E228" s="37">
        <v>18700000</v>
      </c>
      <c r="F228" s="37">
        <f>D228-E228</f>
        <v>0</v>
      </c>
    </row>
    <row r="229" spans="1:6" hidden="1" x14ac:dyDescent="0.3">
      <c r="A229" s="35" t="s">
        <v>9</v>
      </c>
      <c r="B229" s="108">
        <f>COUNTIF($A$19:A229,A229)</f>
        <v>18</v>
      </c>
      <c r="C229" s="36" t="s">
        <v>246</v>
      </c>
      <c r="D229" s="37">
        <f>8500000+1700000+1700000+1700000+1700000+1700000+1700000</f>
        <v>18700000</v>
      </c>
      <c r="E229" s="37">
        <v>18700000</v>
      </c>
      <c r="F229" s="37">
        <f>D229-E229</f>
        <v>0</v>
      </c>
    </row>
    <row r="230" spans="1:6" hidden="1" x14ac:dyDescent="0.3">
      <c r="A230" s="35" t="s">
        <v>25</v>
      </c>
      <c r="B230" s="108">
        <f>COUNTIF($A$19:A230,A230)</f>
        <v>18</v>
      </c>
      <c r="C230" s="36" t="s">
        <v>247</v>
      </c>
      <c r="D230" s="37">
        <f>8500000+1700000</f>
        <v>10200000</v>
      </c>
      <c r="E230" s="37">
        <v>10200000</v>
      </c>
      <c r="F230" s="37">
        <f>D230-E230</f>
        <v>0</v>
      </c>
    </row>
    <row r="231" spans="1:6" hidden="1" x14ac:dyDescent="0.3">
      <c r="A231" s="35" t="s">
        <v>7</v>
      </c>
      <c r="B231" s="108">
        <f>COUNTIF($A$19:A231,A231)</f>
        <v>19</v>
      </c>
      <c r="C231" s="36" t="s">
        <v>248</v>
      </c>
      <c r="D231" s="37">
        <f>8500000+1700000+1700000+1700000+1700000+1700000+1700000</f>
        <v>18700000</v>
      </c>
      <c r="E231" s="37">
        <v>18700000</v>
      </c>
      <c r="F231" s="37">
        <f>D231-E231</f>
        <v>0</v>
      </c>
    </row>
    <row r="232" spans="1:6" hidden="1" x14ac:dyDescent="0.3">
      <c r="A232" s="35" t="s">
        <v>9</v>
      </c>
      <c r="B232" s="108">
        <f>COUNTIF($A$19:A232,A232)</f>
        <v>19</v>
      </c>
      <c r="C232" s="36" t="s">
        <v>249</v>
      </c>
      <c r="D232" s="37">
        <f>8500000+1700000+1700000+1700000+1700000+1700000+1700000</f>
        <v>18700000</v>
      </c>
      <c r="E232" s="37">
        <v>18700000</v>
      </c>
      <c r="F232" s="37">
        <f>D232-E232</f>
        <v>0</v>
      </c>
    </row>
    <row r="233" spans="1:6" hidden="1" x14ac:dyDescent="0.3">
      <c r="A233" s="35" t="s">
        <v>9</v>
      </c>
      <c r="B233" s="108">
        <f>COUNTIF($A$19:A233,A233)</f>
        <v>20</v>
      </c>
      <c r="C233" s="36" t="s">
        <v>250</v>
      </c>
      <c r="D233" s="37">
        <f>8500000+1700000+1700000+1700000+1700000+1700000+1700000</f>
        <v>18700000</v>
      </c>
      <c r="E233" s="37">
        <v>18700000</v>
      </c>
      <c r="F233" s="37">
        <f>D233-E233</f>
        <v>0</v>
      </c>
    </row>
    <row r="234" spans="1:6" hidden="1" x14ac:dyDescent="0.3">
      <c r="A234" s="35" t="s">
        <v>21</v>
      </c>
      <c r="B234" s="108">
        <f>COUNTIF($A$19:A234,A234)</f>
        <v>17</v>
      </c>
      <c r="C234" s="36" t="s">
        <v>251</v>
      </c>
      <c r="D234" s="37">
        <f>8500000+1700000</f>
        <v>10200000</v>
      </c>
      <c r="E234" s="37">
        <v>10200000</v>
      </c>
      <c r="F234" s="37">
        <f>D234-E234</f>
        <v>0</v>
      </c>
    </row>
    <row r="235" spans="1:6" hidden="1" x14ac:dyDescent="0.3">
      <c r="A235" s="35" t="s">
        <v>23</v>
      </c>
      <c r="B235" s="108">
        <f>COUNTIF($A$19:A235,A235)</f>
        <v>14</v>
      </c>
      <c r="C235" s="36" t="s">
        <v>252</v>
      </c>
      <c r="D235" s="37">
        <f>8500000+1700000</f>
        <v>10200000</v>
      </c>
      <c r="E235" s="37">
        <v>10200000</v>
      </c>
      <c r="F235" s="37">
        <f>D235-E235</f>
        <v>0</v>
      </c>
    </row>
    <row r="236" spans="1:6" hidden="1" x14ac:dyDescent="0.3">
      <c r="A236" s="35" t="s">
        <v>5</v>
      </c>
      <c r="B236" s="108">
        <f>COUNTIF($A$19:A236,A236)</f>
        <v>21</v>
      </c>
      <c r="C236" s="36" t="s">
        <v>253</v>
      </c>
      <c r="D236" s="37">
        <f>8500000+1700000+1700000+1700000+1700000+1700000+1700000</f>
        <v>18700000</v>
      </c>
      <c r="E236" s="37">
        <v>18700000</v>
      </c>
      <c r="F236" s="37">
        <f>D236-E236</f>
        <v>0</v>
      </c>
    </row>
    <row r="237" spans="1:6" hidden="1" x14ac:dyDescent="0.3">
      <c r="A237" s="35" t="s">
        <v>9</v>
      </c>
      <c r="B237" s="108">
        <f>COUNTIF($A$19:A237,A237)</f>
        <v>21</v>
      </c>
      <c r="C237" s="36" t="s">
        <v>254</v>
      </c>
      <c r="D237" s="37">
        <f>8500000+1700000+1700000+1700000+1700000+1700000+1700000</f>
        <v>18700000</v>
      </c>
      <c r="E237" s="37">
        <v>18700000</v>
      </c>
      <c r="F237" s="37">
        <f>D237-E237</f>
        <v>0</v>
      </c>
    </row>
    <row r="238" spans="1:6" hidden="1" x14ac:dyDescent="0.3">
      <c r="A238" s="35" t="s">
        <v>25</v>
      </c>
      <c r="B238" s="108">
        <f>COUNTIF($A$19:A238,A238)</f>
        <v>19</v>
      </c>
      <c r="C238" s="36" t="s">
        <v>255</v>
      </c>
      <c r="D238" s="37">
        <f>8500000+1700000</f>
        <v>10200000</v>
      </c>
      <c r="E238" s="37">
        <v>10200000</v>
      </c>
      <c r="F238" s="37">
        <f>D238-E238</f>
        <v>0</v>
      </c>
    </row>
    <row r="239" spans="1:6" hidden="1" x14ac:dyDescent="0.3">
      <c r="A239" s="35" t="s">
        <v>17</v>
      </c>
      <c r="B239" s="108">
        <f>COUNTIF($A$19:A239,A239)</f>
        <v>16</v>
      </c>
      <c r="C239" s="36" t="s">
        <v>256</v>
      </c>
      <c r="D239" s="37">
        <f>8500000+1700000</f>
        <v>10200000</v>
      </c>
      <c r="E239" s="37">
        <v>10200000</v>
      </c>
      <c r="F239" s="37">
        <f>D239-E239</f>
        <v>0</v>
      </c>
    </row>
    <row r="240" spans="1:6" hidden="1" x14ac:dyDescent="0.3">
      <c r="A240" s="35" t="s">
        <v>25</v>
      </c>
      <c r="B240" s="108">
        <f>COUNTIF($A$19:A240,A240)</f>
        <v>20</v>
      </c>
      <c r="C240" s="36" t="s">
        <v>257</v>
      </c>
      <c r="D240" s="37">
        <f>8500000+1700000</f>
        <v>10200000</v>
      </c>
      <c r="E240" s="37">
        <v>10200000</v>
      </c>
      <c r="F240" s="37">
        <f>D240-E240</f>
        <v>0</v>
      </c>
    </row>
    <row r="241" spans="1:6" hidden="1" x14ac:dyDescent="0.3">
      <c r="A241" s="35" t="s">
        <v>11</v>
      </c>
      <c r="B241" s="108">
        <f>COUNTIF($A$19:A241,A241)</f>
        <v>6</v>
      </c>
      <c r="C241" s="36" t="s">
        <v>258</v>
      </c>
      <c r="D241" s="37">
        <f>2*8500000*3/4</f>
        <v>12750000</v>
      </c>
      <c r="E241" s="37">
        <f>4000000+4500000+1300000+2100000+850000</f>
        <v>12750000</v>
      </c>
      <c r="F241" s="37">
        <f>D241-E241</f>
        <v>0</v>
      </c>
    </row>
    <row r="242" spans="1:6" hidden="1" x14ac:dyDescent="0.3">
      <c r="A242" s="35" t="s">
        <v>5</v>
      </c>
      <c r="B242" s="108">
        <f>COUNTIF($A$19:A242,A242)</f>
        <v>22</v>
      </c>
      <c r="C242" s="36" t="s">
        <v>259</v>
      </c>
      <c r="D242" s="37">
        <f>8500000+1700000+1700000+1700000+1700000+1700000+1700000</f>
        <v>18700000</v>
      </c>
      <c r="E242" s="37">
        <v>18700000</v>
      </c>
      <c r="F242" s="37">
        <f>D242-E242</f>
        <v>0</v>
      </c>
    </row>
    <row r="243" spans="1:6" hidden="1" x14ac:dyDescent="0.3">
      <c r="A243" s="35" t="s">
        <v>27</v>
      </c>
      <c r="B243" s="108">
        <f>COUNTIF($A$19:A243,A243)</f>
        <v>17</v>
      </c>
      <c r="C243" s="36" t="s">
        <v>260</v>
      </c>
      <c r="D243" s="37">
        <f>8500000+1700000</f>
        <v>10200000</v>
      </c>
      <c r="E243" s="37">
        <v>10200000</v>
      </c>
      <c r="F243" s="37">
        <f>D243-E243</f>
        <v>0</v>
      </c>
    </row>
    <row r="244" spans="1:6" hidden="1" x14ac:dyDescent="0.3">
      <c r="A244" s="35" t="s">
        <v>17</v>
      </c>
      <c r="B244" s="108">
        <f>COUNTIF($A$19:A244,A244)</f>
        <v>17</v>
      </c>
      <c r="C244" s="36" t="s">
        <v>261</v>
      </c>
      <c r="D244" s="37">
        <f>8500000+1700000</f>
        <v>10200000</v>
      </c>
      <c r="E244" s="37">
        <v>10200000</v>
      </c>
      <c r="F244" s="37">
        <f>D244-E244</f>
        <v>0</v>
      </c>
    </row>
    <row r="245" spans="1:6" hidden="1" x14ac:dyDescent="0.3">
      <c r="A245" s="35" t="s">
        <v>11</v>
      </c>
      <c r="B245" s="108">
        <f>COUNTIF($A$19:A245,A245)</f>
        <v>7</v>
      </c>
      <c r="C245" s="36" t="s">
        <v>262</v>
      </c>
      <c r="D245" s="37">
        <f>2*8500000*3/4</f>
        <v>12750000</v>
      </c>
      <c r="E245" s="48">
        <f>8000000+500000+3400000+850000</f>
        <v>12750000</v>
      </c>
      <c r="F245" s="37">
        <f>D245-E245</f>
        <v>0</v>
      </c>
    </row>
    <row r="246" spans="1:6" hidden="1" x14ac:dyDescent="0.3">
      <c r="A246" s="35" t="s">
        <v>25</v>
      </c>
      <c r="B246" s="108">
        <f>COUNTIF($A$19:A246,A246)</f>
        <v>21</v>
      </c>
      <c r="C246" s="36" t="s">
        <v>263</v>
      </c>
      <c r="D246" s="37">
        <f>8500000+1700000</f>
        <v>10200000</v>
      </c>
      <c r="E246" s="37">
        <v>10200000</v>
      </c>
      <c r="F246" s="37">
        <f>D246-E246</f>
        <v>0</v>
      </c>
    </row>
    <row r="247" spans="1:6" hidden="1" x14ac:dyDescent="0.3">
      <c r="A247" s="35" t="s">
        <v>23</v>
      </c>
      <c r="B247" s="108">
        <f>COUNTIF($A$19:A247,A247)</f>
        <v>15</v>
      </c>
      <c r="C247" s="36" t="s">
        <v>264</v>
      </c>
      <c r="D247" s="37">
        <f>8500000+1700000</f>
        <v>10200000</v>
      </c>
      <c r="E247" s="37">
        <v>10200000</v>
      </c>
      <c r="F247" s="37">
        <f>D247-E247</f>
        <v>0</v>
      </c>
    </row>
    <row r="248" spans="1:6" hidden="1" x14ac:dyDescent="0.3">
      <c r="A248" s="35" t="s">
        <v>15</v>
      </c>
      <c r="B248" s="108">
        <f>COUNTIF($A$19:A248,A248)</f>
        <v>16</v>
      </c>
      <c r="C248" s="36" t="s">
        <v>265</v>
      </c>
      <c r="D248" s="37">
        <f>8500000+1700000</f>
        <v>10200000</v>
      </c>
      <c r="E248" s="37">
        <v>10200000</v>
      </c>
      <c r="F248" s="37">
        <f>D248-E248</f>
        <v>0</v>
      </c>
    </row>
    <row r="249" spans="1:6" hidden="1" x14ac:dyDescent="0.3">
      <c r="A249" s="35" t="s">
        <v>25</v>
      </c>
      <c r="B249" s="108">
        <f>COUNTIF($A$19:A249,A249)</f>
        <v>22</v>
      </c>
      <c r="C249" s="36" t="s">
        <v>266</v>
      </c>
      <c r="D249" s="37">
        <f>8500000+1700000</f>
        <v>10200000</v>
      </c>
      <c r="E249" s="37">
        <v>10200000</v>
      </c>
      <c r="F249" s="37">
        <f>D249-E249</f>
        <v>0</v>
      </c>
    </row>
    <row r="250" spans="1:6" hidden="1" x14ac:dyDescent="0.3">
      <c r="A250" s="35" t="s">
        <v>25</v>
      </c>
      <c r="B250" s="108">
        <f>COUNTIF($A$19:A250,A250)</f>
        <v>23</v>
      </c>
      <c r="C250" s="36" t="s">
        <v>267</v>
      </c>
      <c r="D250" s="37">
        <f>8500000+1700000</f>
        <v>10200000</v>
      </c>
      <c r="E250" s="37">
        <v>10200000</v>
      </c>
      <c r="F250" s="37">
        <f>D250-E250</f>
        <v>0</v>
      </c>
    </row>
    <row r="251" spans="1:6" hidden="1" x14ac:dyDescent="0.3">
      <c r="A251" s="35" t="s">
        <v>23</v>
      </c>
      <c r="B251" s="108">
        <f>COUNTIF($A$19:A251,A251)</f>
        <v>16</v>
      </c>
      <c r="C251" s="36" t="s">
        <v>268</v>
      </c>
      <c r="D251" s="37">
        <f>8500000+1700000</f>
        <v>10200000</v>
      </c>
      <c r="E251" s="37">
        <v>10200000</v>
      </c>
      <c r="F251" s="37">
        <f>D251-E251</f>
        <v>0</v>
      </c>
    </row>
    <row r="252" spans="1:6" hidden="1" x14ac:dyDescent="0.3">
      <c r="A252" s="35" t="s">
        <v>7</v>
      </c>
      <c r="B252" s="108">
        <f>COUNTIF($A$19:A252,A252)</f>
        <v>20</v>
      </c>
      <c r="C252" s="36" t="s">
        <v>269</v>
      </c>
      <c r="D252" s="37">
        <f>8500000+1700000+1700000+1700000+1700000+1700000+1700000</f>
        <v>18700000</v>
      </c>
      <c r="E252" s="37">
        <v>18700000</v>
      </c>
      <c r="F252" s="37">
        <f>D252-E252</f>
        <v>0</v>
      </c>
    </row>
    <row r="253" spans="1:6" hidden="1" x14ac:dyDescent="0.3">
      <c r="A253" s="35" t="s">
        <v>21</v>
      </c>
      <c r="B253" s="108">
        <f>COUNTIF($A$19:A253,A253)</f>
        <v>18</v>
      </c>
      <c r="C253" s="36" t="s">
        <v>270</v>
      </c>
      <c r="D253" s="37">
        <f>8500000+1700000</f>
        <v>10200000</v>
      </c>
      <c r="E253" s="37">
        <v>10200000</v>
      </c>
      <c r="F253" s="37">
        <f>D253-E253</f>
        <v>0</v>
      </c>
    </row>
    <row r="254" spans="1:6" hidden="1" x14ac:dyDescent="0.3">
      <c r="A254" s="35" t="s">
        <v>23</v>
      </c>
      <c r="B254" s="108">
        <f>COUNTIF($A$19:A254,A254)</f>
        <v>17</v>
      </c>
      <c r="C254" s="36" t="s">
        <v>271</v>
      </c>
      <c r="D254" s="37">
        <f>8500000+1700000</f>
        <v>10200000</v>
      </c>
      <c r="E254" s="37">
        <v>10200000</v>
      </c>
      <c r="F254" s="37">
        <f>D254-E254</f>
        <v>0</v>
      </c>
    </row>
    <row r="255" spans="1:6" hidden="1" x14ac:dyDescent="0.3">
      <c r="A255" s="35" t="s">
        <v>15</v>
      </c>
      <c r="B255" s="108">
        <f>COUNTIF($A$19:A255,A255)</f>
        <v>17</v>
      </c>
      <c r="C255" s="134" t="s">
        <v>272</v>
      </c>
      <c r="D255" s="37">
        <v>1700000</v>
      </c>
      <c r="E255" s="135"/>
      <c r="F255" s="37">
        <f>Akademik.TSCH!D367-Akademik.TSCH!E367</f>
        <v>0</v>
      </c>
    </row>
    <row r="256" spans="1:6" hidden="1" x14ac:dyDescent="0.3">
      <c r="A256" s="35" t="s">
        <v>15</v>
      </c>
      <c r="B256" s="108">
        <f>COUNTIF($A$19:A256,A256)</f>
        <v>18</v>
      </c>
      <c r="C256" s="134" t="s">
        <v>273</v>
      </c>
      <c r="D256" s="37">
        <v>1700000</v>
      </c>
      <c r="E256" s="135"/>
      <c r="F256" s="37">
        <f>Akademik.TSCH!D368-Akademik.TSCH!E368</f>
        <v>0</v>
      </c>
    </row>
    <row r="257" spans="1:6" hidden="1" x14ac:dyDescent="0.3">
      <c r="A257" s="35" t="s">
        <v>15</v>
      </c>
      <c r="B257" s="108">
        <f>COUNTIF($A$19:A257,A257)</f>
        <v>19</v>
      </c>
      <c r="C257" s="134" t="s">
        <v>274</v>
      </c>
      <c r="D257" s="37">
        <v>1700000</v>
      </c>
      <c r="E257" s="135"/>
      <c r="F257" s="37">
        <f>Akademik.TSCH!D369-Akademik.TSCH!E369</f>
        <v>0</v>
      </c>
    </row>
    <row r="258" spans="1:6" hidden="1" x14ac:dyDescent="0.3">
      <c r="A258" s="35" t="s">
        <v>17</v>
      </c>
      <c r="B258" s="108">
        <f>COUNTIF($A$19:A258,A258)</f>
        <v>18</v>
      </c>
      <c r="C258" s="134" t="s">
        <v>275</v>
      </c>
      <c r="D258" s="37">
        <v>1700000</v>
      </c>
      <c r="E258" s="135">
        <f>3800000</f>
        <v>3800000</v>
      </c>
      <c r="F258" s="37">
        <f>Akademik.TSCH!D370-Akademik.TSCH!E370</f>
        <v>0</v>
      </c>
    </row>
    <row r="259" spans="1:6" hidden="1" x14ac:dyDescent="0.3">
      <c r="A259" s="35" t="s">
        <v>25</v>
      </c>
      <c r="B259" s="108">
        <f>COUNTIF($A$19:A259,A259)</f>
        <v>24</v>
      </c>
      <c r="C259" s="36" t="s">
        <v>276</v>
      </c>
      <c r="D259" s="37">
        <f>8500000+1700000</f>
        <v>10200000</v>
      </c>
      <c r="E259" s="37">
        <v>10200250</v>
      </c>
      <c r="F259" s="37">
        <f>D259-E259</f>
        <v>-250</v>
      </c>
    </row>
    <row r="260" spans="1:6" hidden="1" x14ac:dyDescent="0.3">
      <c r="A260" s="35" t="s">
        <v>25</v>
      </c>
      <c r="B260" s="108">
        <f>COUNTIF($A$19:A260,A260)</f>
        <v>25</v>
      </c>
      <c r="C260" s="36" t="s">
        <v>277</v>
      </c>
      <c r="D260" s="37">
        <f>8500000+1700000</f>
        <v>10200000</v>
      </c>
      <c r="E260" s="37">
        <v>10201000</v>
      </c>
      <c r="F260" s="37">
        <f>D260-E260</f>
        <v>-1000</v>
      </c>
    </row>
    <row r="261" spans="1:6" hidden="1" x14ac:dyDescent="0.3">
      <c r="A261" s="35" t="s">
        <v>15</v>
      </c>
      <c r="B261" s="108">
        <f>COUNTIF($A$19:A261,A261)</f>
        <v>20</v>
      </c>
      <c r="C261" s="36" t="s">
        <v>278</v>
      </c>
      <c r="D261" s="37">
        <f>8500000+1700000</f>
        <v>10200000</v>
      </c>
      <c r="E261" s="37">
        <v>10201000</v>
      </c>
      <c r="F261" s="37">
        <f>D261-E261</f>
        <v>-1000</v>
      </c>
    </row>
    <row r="262" spans="1:6" hidden="1" x14ac:dyDescent="0.3">
      <c r="A262" s="35" t="s">
        <v>5</v>
      </c>
      <c r="B262" s="108">
        <f>COUNTIF($A$19:A262,A262)</f>
        <v>23</v>
      </c>
      <c r="C262" s="36" t="s">
        <v>279</v>
      </c>
      <c r="D262" s="37">
        <f>8500000+1700000+1700000+1700000+1700000+1700000+1700000</f>
        <v>18700000</v>
      </c>
      <c r="E262" s="37">
        <v>18701000</v>
      </c>
      <c r="F262" s="37">
        <f>D262-E262</f>
        <v>-1000</v>
      </c>
    </row>
    <row r="263" spans="1:6" hidden="1" x14ac:dyDescent="0.3">
      <c r="A263" s="35" t="s">
        <v>23</v>
      </c>
      <c r="B263" s="108">
        <f>COUNTIF($A$19:A263,A263)</f>
        <v>18</v>
      </c>
      <c r="C263" s="36" t="s">
        <v>280</v>
      </c>
      <c r="D263" s="37">
        <f>8500000+1700000</f>
        <v>10200000</v>
      </c>
      <c r="E263" s="37">
        <v>10201250</v>
      </c>
      <c r="F263" s="37">
        <f>D263-E263</f>
        <v>-1250</v>
      </c>
    </row>
    <row r="264" spans="1:6" hidden="1" x14ac:dyDescent="0.3">
      <c r="A264" s="35" t="s">
        <v>21</v>
      </c>
      <c r="B264" s="108">
        <f>COUNTIF($A$19:A264,A264)</f>
        <v>19</v>
      </c>
      <c r="C264" s="36" t="s">
        <v>281</v>
      </c>
      <c r="D264" s="37">
        <f>8500000+1700000</f>
        <v>10200000</v>
      </c>
      <c r="E264" s="37">
        <v>10202000</v>
      </c>
      <c r="F264" s="37">
        <f>D264-E264</f>
        <v>-2000</v>
      </c>
    </row>
    <row r="265" spans="1:6" hidden="1" x14ac:dyDescent="0.3">
      <c r="A265" s="35" t="s">
        <v>15</v>
      </c>
      <c r="B265" s="108">
        <f>COUNTIF($A$19:A265,A265)</f>
        <v>21</v>
      </c>
      <c r="C265" s="36" t="s">
        <v>282</v>
      </c>
      <c r="D265" s="37">
        <f>8500000+1700000</f>
        <v>10200000</v>
      </c>
      <c r="E265" s="37">
        <v>10202000</v>
      </c>
      <c r="F265" s="37">
        <f>D265-E265</f>
        <v>-2000</v>
      </c>
    </row>
    <row r="266" spans="1:6" hidden="1" x14ac:dyDescent="0.3">
      <c r="A266" s="35" t="s">
        <v>17</v>
      </c>
      <c r="B266" s="108">
        <f>COUNTIF($A$19:A266,A266)</f>
        <v>19</v>
      </c>
      <c r="C266" s="36" t="s">
        <v>283</v>
      </c>
      <c r="D266" s="37">
        <f>8500000+1700000</f>
        <v>10200000</v>
      </c>
      <c r="E266" s="37">
        <v>10202000</v>
      </c>
      <c r="F266" s="37">
        <f>D266-E266</f>
        <v>-2000</v>
      </c>
    </row>
    <row r="267" spans="1:6" hidden="1" x14ac:dyDescent="0.3">
      <c r="A267" s="35" t="s">
        <v>7</v>
      </c>
      <c r="B267" s="108">
        <f>COUNTIF($A$19:A267,A267)</f>
        <v>21</v>
      </c>
      <c r="C267" s="36" t="s">
        <v>284</v>
      </c>
      <c r="D267" s="37">
        <f>8500000+1700000+1700000+1700000+1700000+1700000+1700000</f>
        <v>18700000</v>
      </c>
      <c r="E267" s="37">
        <v>18702250</v>
      </c>
      <c r="F267" s="37">
        <f>D267-E267</f>
        <v>-2250</v>
      </c>
    </row>
    <row r="268" spans="1:6" hidden="1" x14ac:dyDescent="0.3">
      <c r="A268" s="35" t="s">
        <v>7</v>
      </c>
      <c r="B268" s="108">
        <f>COUNTIF($A$19:A268,A268)</f>
        <v>22</v>
      </c>
      <c r="C268" s="36" t="s">
        <v>285</v>
      </c>
      <c r="D268" s="37">
        <f>8500000+1700000+1700000+1700000+1700000+1700000+1700000</f>
        <v>18700000</v>
      </c>
      <c r="E268" s="37">
        <v>18702250</v>
      </c>
      <c r="F268" s="37">
        <f>D268-E268</f>
        <v>-2250</v>
      </c>
    </row>
    <row r="269" spans="1:6" hidden="1" x14ac:dyDescent="0.3">
      <c r="A269" s="35" t="s">
        <v>21</v>
      </c>
      <c r="B269" s="108">
        <f>COUNTIF($A$19:A269,A269)</f>
        <v>20</v>
      </c>
      <c r="C269" s="36" t="s">
        <v>286</v>
      </c>
      <c r="D269" s="37">
        <f>8500000+1700000</f>
        <v>10200000</v>
      </c>
      <c r="E269" s="37">
        <v>10203000</v>
      </c>
      <c r="F269" s="37">
        <f>D269-E269</f>
        <v>-3000</v>
      </c>
    </row>
    <row r="270" spans="1:6" hidden="1" x14ac:dyDescent="0.3">
      <c r="A270" s="35" t="s">
        <v>15</v>
      </c>
      <c r="B270" s="108">
        <f>COUNTIF($A$19:A270,A270)</f>
        <v>22</v>
      </c>
      <c r="C270" s="36" t="s">
        <v>287</v>
      </c>
      <c r="D270" s="37">
        <f>8500000+1700000</f>
        <v>10200000</v>
      </c>
      <c r="E270" s="37">
        <v>10203000</v>
      </c>
      <c r="F270" s="37">
        <f>D270-E270</f>
        <v>-3000</v>
      </c>
    </row>
    <row r="271" spans="1:6" hidden="1" x14ac:dyDescent="0.3">
      <c r="A271" s="35" t="s">
        <v>17</v>
      </c>
      <c r="B271" s="108">
        <f>COUNTIF($A$19:A271,A271)</f>
        <v>20</v>
      </c>
      <c r="C271" s="36" t="s">
        <v>288</v>
      </c>
      <c r="D271" s="37">
        <f>8500000+1700000</f>
        <v>10200000</v>
      </c>
      <c r="E271" s="37">
        <v>10204000</v>
      </c>
      <c r="F271" s="37">
        <f>D271-E271</f>
        <v>-4000</v>
      </c>
    </row>
    <row r="272" spans="1:6" hidden="1" x14ac:dyDescent="0.3">
      <c r="A272" s="35" t="s">
        <v>7</v>
      </c>
      <c r="B272" s="108">
        <f>COUNTIF($A$19:A272,A272)</f>
        <v>23</v>
      </c>
      <c r="C272" s="36" t="s">
        <v>289</v>
      </c>
      <c r="D272" s="37">
        <f>8500000+1700000+1700000+1700000+1700000+1700000+1700000</f>
        <v>18700000</v>
      </c>
      <c r="E272" s="37">
        <v>18705000</v>
      </c>
      <c r="F272" s="37">
        <f>D272-E272</f>
        <v>-5000</v>
      </c>
    </row>
    <row r="273" spans="1:6" hidden="1" x14ac:dyDescent="0.3">
      <c r="A273" s="35" t="s">
        <v>23</v>
      </c>
      <c r="B273" s="108">
        <f>COUNTIF($A$19:A273,A273)</f>
        <v>19</v>
      </c>
      <c r="C273" s="36" t="s">
        <v>290</v>
      </c>
      <c r="D273" s="37">
        <f>8500000+1700000</f>
        <v>10200000</v>
      </c>
      <c r="E273" s="37">
        <v>10205000</v>
      </c>
      <c r="F273" s="37">
        <f>D273-E273</f>
        <v>-5000</v>
      </c>
    </row>
    <row r="274" spans="1:6" hidden="1" x14ac:dyDescent="0.3">
      <c r="A274" s="35" t="s">
        <v>19</v>
      </c>
      <c r="B274" s="108">
        <f>COUNTIF($A$19:A274,A274)</f>
        <v>22</v>
      </c>
      <c r="C274" s="36" t="s">
        <v>291</v>
      </c>
      <c r="D274" s="37">
        <f>8500000+1700000</f>
        <v>10200000</v>
      </c>
      <c r="E274" s="37">
        <v>10205000</v>
      </c>
      <c r="F274" s="37">
        <f>D274-E274</f>
        <v>-5000</v>
      </c>
    </row>
    <row r="275" spans="1:6" hidden="1" x14ac:dyDescent="0.3">
      <c r="A275" s="35" t="s">
        <v>19</v>
      </c>
      <c r="B275" s="108">
        <f>COUNTIF($A$19:A275,A275)</f>
        <v>23</v>
      </c>
      <c r="C275" s="36" t="s">
        <v>292</v>
      </c>
      <c r="D275" s="37">
        <f>8500000+1700000</f>
        <v>10200000</v>
      </c>
      <c r="E275" s="37">
        <v>10206000</v>
      </c>
      <c r="F275" s="37">
        <f>D275-E275</f>
        <v>-6000</v>
      </c>
    </row>
    <row r="276" spans="1:6" hidden="1" x14ac:dyDescent="0.3">
      <c r="A276" s="35" t="s">
        <v>7</v>
      </c>
      <c r="B276" s="108">
        <f>COUNTIF($A$19:A276,A276)</f>
        <v>24</v>
      </c>
      <c r="C276" s="36" t="s">
        <v>293</v>
      </c>
      <c r="D276" s="37">
        <f>8500000+1700000+1700000+1700000+1700000+1700000+1700000</f>
        <v>18700000</v>
      </c>
      <c r="E276" s="37">
        <v>18713000</v>
      </c>
      <c r="F276" s="37">
        <f>D276-E276</f>
        <v>-13000</v>
      </c>
    </row>
    <row r="277" spans="1:6" hidden="1" x14ac:dyDescent="0.3">
      <c r="A277" s="35" t="s">
        <v>11</v>
      </c>
      <c r="B277" s="108">
        <f>COUNTIF($A$19:A277,A277)</f>
        <v>8</v>
      </c>
      <c r="C277" s="36" t="s">
        <v>294</v>
      </c>
      <c r="D277" s="37">
        <f>2*8500000*3/4</f>
        <v>12750000</v>
      </c>
      <c r="E277" s="37">
        <f>8500000+1000000+2400000+900000</f>
        <v>12800000</v>
      </c>
      <c r="F277" s="37">
        <f>D277-E277</f>
        <v>-50000</v>
      </c>
    </row>
    <row r="278" spans="1:6" hidden="1" x14ac:dyDescent="0.3">
      <c r="A278" s="35" t="s">
        <v>15</v>
      </c>
      <c r="B278" s="108">
        <f>COUNTIF($A$19:A278,A278)</f>
        <v>23</v>
      </c>
      <c r="C278" s="36" t="s">
        <v>295</v>
      </c>
      <c r="D278" s="37">
        <f>8500000+1700000</f>
        <v>10200000</v>
      </c>
      <c r="E278" s="37">
        <v>10300000</v>
      </c>
      <c r="F278" s="37">
        <f>D278-E278</f>
        <v>-100000</v>
      </c>
    </row>
    <row r="279" spans="1:6" hidden="1" x14ac:dyDescent="0.3">
      <c r="A279" s="35" t="s">
        <v>24</v>
      </c>
      <c r="B279" s="108">
        <f>COUNTIF($A$19:A279,A279)</f>
        <v>26</v>
      </c>
      <c r="C279" s="36" t="s">
        <v>296</v>
      </c>
      <c r="D279" s="37">
        <f>8500000+1700000</f>
        <v>10200000</v>
      </c>
      <c r="E279" s="37">
        <v>10300000</v>
      </c>
      <c r="F279" s="37">
        <f>D279-E279</f>
        <v>-100000</v>
      </c>
    </row>
    <row r="280" spans="1:6" hidden="1" x14ac:dyDescent="0.3">
      <c r="A280" s="35" t="s">
        <v>23</v>
      </c>
      <c r="B280" s="108">
        <f>COUNTIF($A$19:A280,A280)</f>
        <v>20</v>
      </c>
      <c r="C280" s="36" t="s">
        <v>297</v>
      </c>
      <c r="D280" s="37">
        <f>8500000+1700000</f>
        <v>10200000</v>
      </c>
      <c r="E280" s="37">
        <v>10315000</v>
      </c>
      <c r="F280" s="37">
        <f>D280-E280</f>
        <v>-115000</v>
      </c>
    </row>
    <row r="281" spans="1:6" hidden="1" x14ac:dyDescent="0.3">
      <c r="A281" s="35" t="s">
        <v>21</v>
      </c>
      <c r="B281" s="108">
        <f>COUNTIF($A$19:A281,A281)</f>
        <v>21</v>
      </c>
      <c r="C281" s="36" t="s">
        <v>298</v>
      </c>
      <c r="D281" s="37">
        <f>8500000+1700000</f>
        <v>10200000</v>
      </c>
      <c r="E281" s="37">
        <v>10400000</v>
      </c>
      <c r="F281" s="37">
        <f>D281-E281</f>
        <v>-200000</v>
      </c>
    </row>
    <row r="282" spans="1:6" x14ac:dyDescent="0.3">
      <c r="A282" s="35" t="s">
        <v>13</v>
      </c>
      <c r="B282" s="108">
        <f>COUNTIF($A$19:A282,A282)</f>
        <v>13</v>
      </c>
      <c r="C282" s="36" t="s">
        <v>299</v>
      </c>
      <c r="D282" s="37">
        <f>2*8500000*3/4</f>
        <v>12750000</v>
      </c>
      <c r="E282" s="37">
        <f>2000000+2250000+4250000+4500000</f>
        <v>13000000</v>
      </c>
      <c r="F282" s="37">
        <f>D282-E282</f>
        <v>-250000</v>
      </c>
    </row>
    <row r="283" spans="1:6" hidden="1" x14ac:dyDescent="0.3">
      <c r="A283" s="35" t="s">
        <v>11</v>
      </c>
      <c r="B283" s="108">
        <f>COUNTIF($A$19:A283,A283)</f>
        <v>9</v>
      </c>
      <c r="C283" s="36" t="s">
        <v>300</v>
      </c>
      <c r="D283" s="37">
        <f>2*8500000*3/4</f>
        <v>12750000</v>
      </c>
      <c r="E283" s="37">
        <f>8500000+3500000+1000000</f>
        <v>13000000</v>
      </c>
      <c r="F283" s="37">
        <f>D283-E283</f>
        <v>-250000</v>
      </c>
    </row>
    <row r="284" spans="1:6" hidden="1" x14ac:dyDescent="0.3">
      <c r="A284" s="35" t="s">
        <v>11</v>
      </c>
      <c r="B284" s="108">
        <f>COUNTIF($A$19:A284,A284)</f>
        <v>10</v>
      </c>
      <c r="C284" s="36" t="s">
        <v>301</v>
      </c>
      <c r="D284" s="37">
        <f>2*8500000*3/4</f>
        <v>12750000</v>
      </c>
      <c r="E284" s="37">
        <f>8496000+4504000</f>
        <v>13000000</v>
      </c>
      <c r="F284" s="37">
        <f>D284-E284</f>
        <v>-250000</v>
      </c>
    </row>
    <row r="285" spans="1:6" hidden="1" x14ac:dyDescent="0.3">
      <c r="A285" s="35" t="s">
        <v>25</v>
      </c>
      <c r="B285" s="108">
        <f>COUNTIF($A$19:A285,A285)</f>
        <v>26</v>
      </c>
      <c r="C285" s="36" t="s">
        <v>302</v>
      </c>
      <c r="D285" s="37">
        <f>8500000+1700000</f>
        <v>10200000</v>
      </c>
      <c r="E285" s="37">
        <v>10460000</v>
      </c>
      <c r="F285" s="37">
        <f>D285-E285</f>
        <v>-260000</v>
      </c>
    </row>
    <row r="286" spans="1:6" hidden="1" x14ac:dyDescent="0.3">
      <c r="A286" s="35" t="s">
        <v>21</v>
      </c>
      <c r="B286" s="108">
        <f>COUNTIF($A$19:A286,A286)</f>
        <v>22</v>
      </c>
      <c r="C286" s="36" t="s">
        <v>303</v>
      </c>
      <c r="D286" s="37">
        <f>8500000+1700000</f>
        <v>10200000</v>
      </c>
      <c r="E286" s="37">
        <v>10500000</v>
      </c>
      <c r="F286" s="37">
        <f>D286-E286</f>
        <v>-300000</v>
      </c>
    </row>
    <row r="287" spans="1:6" hidden="1" x14ac:dyDescent="0.3">
      <c r="A287" s="35" t="s">
        <v>25</v>
      </c>
      <c r="B287" s="108">
        <f>COUNTIF($A$19:A287,A287)</f>
        <v>27</v>
      </c>
      <c r="C287" s="36" t="s">
        <v>304</v>
      </c>
      <c r="D287" s="37">
        <f>8500000+1700000</f>
        <v>10200000</v>
      </c>
      <c r="E287" s="37">
        <f>10500000</f>
        <v>10500000</v>
      </c>
      <c r="F287" s="37">
        <f>D287-E287</f>
        <v>-300000</v>
      </c>
    </row>
    <row r="288" spans="1:6" hidden="1" x14ac:dyDescent="0.3">
      <c r="A288" s="35" t="s">
        <v>9</v>
      </c>
      <c r="B288" s="108">
        <f>COUNTIF($A$19:A288,A288)</f>
        <v>22</v>
      </c>
      <c r="C288" s="36" t="s">
        <v>305</v>
      </c>
      <c r="D288" s="37">
        <f>8500000+1700000+1700000+1700000+1700000+1700000+1700000</f>
        <v>18700000</v>
      </c>
      <c r="E288" s="37">
        <v>19000000</v>
      </c>
      <c r="F288" s="37">
        <f>D288-E288</f>
        <v>-300000</v>
      </c>
    </row>
    <row r="289" spans="1:6" hidden="1" x14ac:dyDescent="0.3">
      <c r="A289" s="35" t="s">
        <v>23</v>
      </c>
      <c r="B289" s="108">
        <f>COUNTIF($A$19:A289,A289)</f>
        <v>21</v>
      </c>
      <c r="C289" s="36" t="s">
        <v>306</v>
      </c>
      <c r="D289" s="37">
        <f>8500000+1700000</f>
        <v>10200000</v>
      </c>
      <c r="E289" s="37">
        <v>10500000</v>
      </c>
      <c r="F289" s="37">
        <f>D289-E289</f>
        <v>-300000</v>
      </c>
    </row>
    <row r="290" spans="1:6" hidden="1" x14ac:dyDescent="0.3">
      <c r="A290" s="35" t="s">
        <v>27</v>
      </c>
      <c r="B290" s="108">
        <f>COUNTIF($A$19:A290,A290)</f>
        <v>18</v>
      </c>
      <c r="C290" s="36" t="s">
        <v>307</v>
      </c>
      <c r="D290" s="37">
        <f>8500000+1700000</f>
        <v>10200000</v>
      </c>
      <c r="E290" s="37">
        <v>10500000</v>
      </c>
      <c r="F290" s="37">
        <f>D290-E290</f>
        <v>-300000</v>
      </c>
    </row>
    <row r="291" spans="1:6" hidden="1" x14ac:dyDescent="0.3">
      <c r="A291" s="35" t="s">
        <v>24</v>
      </c>
      <c r="B291" s="108">
        <f>COUNTIF($A$19:A291,A291)</f>
        <v>27</v>
      </c>
      <c r="C291" s="36" t="s">
        <v>308</v>
      </c>
      <c r="D291" s="37">
        <f>8500000+1700000</f>
        <v>10200000</v>
      </c>
      <c r="E291" s="37">
        <v>10500000</v>
      </c>
      <c r="F291" s="37">
        <f>D291-E291</f>
        <v>-300000</v>
      </c>
    </row>
    <row r="292" spans="1:6" hidden="1" x14ac:dyDescent="0.3">
      <c r="A292" s="35" t="s">
        <v>23</v>
      </c>
      <c r="B292" s="108">
        <f>COUNTIF($A$19:A292,A292)</f>
        <v>22</v>
      </c>
      <c r="C292" s="36" t="s">
        <v>309</v>
      </c>
      <c r="D292" s="37">
        <f>8500000+1700000</f>
        <v>10200000</v>
      </c>
      <c r="E292" s="37">
        <v>10500000</v>
      </c>
      <c r="F292" s="37">
        <f>D292-E292</f>
        <v>-300000</v>
      </c>
    </row>
    <row r="293" spans="1:6" hidden="1" x14ac:dyDescent="0.3">
      <c r="A293" s="35" t="s">
        <v>23</v>
      </c>
      <c r="B293" s="108">
        <f>COUNTIF($A$19:A293,A293)</f>
        <v>23</v>
      </c>
      <c r="C293" s="36" t="s">
        <v>310</v>
      </c>
      <c r="D293" s="37">
        <f>8500000+1700000</f>
        <v>10200000</v>
      </c>
      <c r="E293" s="37">
        <v>10505000</v>
      </c>
      <c r="F293" s="37">
        <f>D293-E293</f>
        <v>-305000</v>
      </c>
    </row>
    <row r="294" spans="1:6" hidden="1" x14ac:dyDescent="0.3">
      <c r="A294" s="35" t="s">
        <v>9</v>
      </c>
      <c r="B294" s="108">
        <f>COUNTIF($A$19:A294,A294)</f>
        <v>23</v>
      </c>
      <c r="C294" s="36" t="s">
        <v>311</v>
      </c>
      <c r="D294" s="37">
        <f>8500000+1700000+1700000+1700000+1700000+1700000+1700000</f>
        <v>18700000</v>
      </c>
      <c r="E294" s="37">
        <v>19005250</v>
      </c>
      <c r="F294" s="37">
        <f>D294-E294</f>
        <v>-305250</v>
      </c>
    </row>
    <row r="295" spans="1:6" hidden="1" x14ac:dyDescent="0.3">
      <c r="A295" s="35" t="s">
        <v>27</v>
      </c>
      <c r="B295" s="108">
        <f>COUNTIF($A$19:A295,A295)</f>
        <v>19</v>
      </c>
      <c r="C295" s="36" t="s">
        <v>312</v>
      </c>
      <c r="D295" s="37">
        <f>8500000+1700000</f>
        <v>10200000</v>
      </c>
      <c r="E295" s="37">
        <v>10507000</v>
      </c>
      <c r="F295" s="37">
        <f>D295-E295</f>
        <v>-307000</v>
      </c>
    </row>
    <row r="296" spans="1:6" hidden="1" x14ac:dyDescent="0.3">
      <c r="A296" s="35" t="s">
        <v>11</v>
      </c>
      <c r="B296" s="108">
        <f>COUNTIF($A$19:A296,A296)</f>
        <v>11</v>
      </c>
      <c r="C296" s="36" t="s">
        <v>313</v>
      </c>
      <c r="D296" s="37">
        <f>2*8500000*3/4</f>
        <v>12750000</v>
      </c>
      <c r="E296" s="37">
        <v>13100000</v>
      </c>
      <c r="F296" s="37">
        <f>D296-E296</f>
        <v>-350000</v>
      </c>
    </row>
    <row r="297" spans="1:6" hidden="1" x14ac:dyDescent="0.3">
      <c r="A297" s="35" t="s">
        <v>27</v>
      </c>
      <c r="B297" s="108">
        <f>COUNTIF($A$19:A297,A297)</f>
        <v>20</v>
      </c>
      <c r="C297" s="36" t="s">
        <v>314</v>
      </c>
      <c r="D297" s="37">
        <f>8500000+1700000</f>
        <v>10200000</v>
      </c>
      <c r="E297" s="37">
        <v>10590000</v>
      </c>
      <c r="F297" s="37">
        <f>D297-E297</f>
        <v>-390000</v>
      </c>
    </row>
    <row r="298" spans="1:6" hidden="1" x14ac:dyDescent="0.3">
      <c r="A298" s="35" t="s">
        <v>24</v>
      </c>
      <c r="B298" s="108">
        <f>COUNTIF($A$19:A298,A298)</f>
        <v>28</v>
      </c>
      <c r="C298" s="36" t="s">
        <v>315</v>
      </c>
      <c r="D298" s="37">
        <f>8500000+1700000</f>
        <v>10200000</v>
      </c>
      <c r="E298" s="37">
        <v>10600000</v>
      </c>
      <c r="F298" s="37">
        <f>D298-E298</f>
        <v>-400000</v>
      </c>
    </row>
    <row r="299" spans="1:6" hidden="1" x14ac:dyDescent="0.3">
      <c r="A299" s="35" t="s">
        <v>11</v>
      </c>
      <c r="B299" s="108">
        <f>COUNTIF($A$19:A299,A299)</f>
        <v>12</v>
      </c>
      <c r="C299" s="36" t="s">
        <v>316</v>
      </c>
      <c r="D299" s="37">
        <f>2*8500000*3/4</f>
        <v>12750000</v>
      </c>
      <c r="E299" s="37">
        <f>3600000+1000000+2000000+1500000+1200000+4000000</f>
        <v>13300000</v>
      </c>
      <c r="F299" s="37">
        <f>D299-E299</f>
        <v>-550000</v>
      </c>
    </row>
    <row r="300" spans="1:6" hidden="1" x14ac:dyDescent="0.3">
      <c r="A300" s="35" t="s">
        <v>11</v>
      </c>
      <c r="B300" s="108">
        <f>COUNTIF($A$19:A300,A300)</f>
        <v>13</v>
      </c>
      <c r="C300" s="36" t="s">
        <v>317</v>
      </c>
      <c r="D300" s="37">
        <f>2*8500000*3/4</f>
        <v>12750000</v>
      </c>
      <c r="E300" s="37">
        <f>8502000+1275000+2400000+1204000</f>
        <v>13381000</v>
      </c>
      <c r="F300" s="37">
        <f>D300-E300</f>
        <v>-631000</v>
      </c>
    </row>
    <row r="301" spans="1:6" hidden="1" x14ac:dyDescent="0.3">
      <c r="A301" s="35" t="s">
        <v>27</v>
      </c>
      <c r="B301" s="108">
        <f>COUNTIF($A$19:A301,A301)</f>
        <v>21</v>
      </c>
      <c r="C301" s="36" t="s">
        <v>318</v>
      </c>
      <c r="D301" s="37">
        <f>8500000+1700000</f>
        <v>10200000</v>
      </c>
      <c r="E301" s="37">
        <v>10866000</v>
      </c>
      <c r="F301" s="37">
        <f>D301-E301</f>
        <v>-666000</v>
      </c>
    </row>
    <row r="302" spans="1:6" hidden="1" x14ac:dyDescent="0.3">
      <c r="A302" s="35" t="s">
        <v>5</v>
      </c>
      <c r="B302" s="108">
        <f>COUNTIF($A$19:A302,A302)</f>
        <v>24</v>
      </c>
      <c r="C302" s="36" t="s">
        <v>319</v>
      </c>
      <c r="D302" s="37">
        <f>8500000+1700000+1700000+1700000+1700000+1700000+1700000</f>
        <v>18700000</v>
      </c>
      <c r="E302" s="37">
        <v>19400000</v>
      </c>
      <c r="F302" s="37">
        <f>D302-E302</f>
        <v>-700000</v>
      </c>
    </row>
    <row r="303" spans="1:6" hidden="1" x14ac:dyDescent="0.3">
      <c r="A303" s="35" t="s">
        <v>21</v>
      </c>
      <c r="B303" s="108">
        <f>COUNTIF($A$19:A303,A303)</f>
        <v>23</v>
      </c>
      <c r="C303" s="36" t="s">
        <v>320</v>
      </c>
      <c r="D303" s="37">
        <f>8500000+1700000</f>
        <v>10200000</v>
      </c>
      <c r="E303" s="37">
        <v>11000000</v>
      </c>
      <c r="F303" s="37">
        <f>D303-E303</f>
        <v>-800000</v>
      </c>
    </row>
    <row r="304" spans="1:6" hidden="1" x14ac:dyDescent="0.3">
      <c r="A304" s="35" t="s">
        <v>21</v>
      </c>
      <c r="B304" s="108">
        <f>COUNTIF($A$19:A304,A304)</f>
        <v>24</v>
      </c>
      <c r="C304" s="36" t="s">
        <v>321</v>
      </c>
      <c r="D304" s="37">
        <f>8500000+1700000</f>
        <v>10200000</v>
      </c>
      <c r="E304" s="37">
        <v>11000000</v>
      </c>
      <c r="F304" s="37">
        <f>D304-E304</f>
        <v>-800000</v>
      </c>
    </row>
    <row r="305" spans="1:6" hidden="1" x14ac:dyDescent="0.3">
      <c r="A305" s="35" t="s">
        <v>27</v>
      </c>
      <c r="B305" s="108">
        <f>COUNTIF($A$19:A305,A305)</f>
        <v>22</v>
      </c>
      <c r="C305" s="36" t="s">
        <v>322</v>
      </c>
      <c r="D305" s="37">
        <f>8500000+1700000</f>
        <v>10200000</v>
      </c>
      <c r="E305" s="37">
        <v>11000000</v>
      </c>
      <c r="F305" s="37">
        <f>D305-E305</f>
        <v>-800000</v>
      </c>
    </row>
    <row r="306" spans="1:6" hidden="1" x14ac:dyDescent="0.3">
      <c r="A306" s="35" t="s">
        <v>11</v>
      </c>
      <c r="B306" s="108">
        <f>COUNTIF($A$19:A306,A306)</f>
        <v>14</v>
      </c>
      <c r="C306" s="36" t="s">
        <v>323</v>
      </c>
      <c r="D306" s="37">
        <f>2*8500000*3/4</f>
        <v>12750000</v>
      </c>
      <c r="E306" s="37">
        <v>13600000</v>
      </c>
      <c r="F306" s="37">
        <f>D306-E306</f>
        <v>-850000</v>
      </c>
    </row>
    <row r="307" spans="1:6" hidden="1" x14ac:dyDescent="0.3">
      <c r="A307" s="35" t="s">
        <v>11</v>
      </c>
      <c r="B307" s="108">
        <f>COUNTIF($A$19:A307,A307)</f>
        <v>15</v>
      </c>
      <c r="C307" s="36" t="s">
        <v>324</v>
      </c>
      <c r="D307" s="37">
        <f>2*8500000*3/4</f>
        <v>12750000</v>
      </c>
      <c r="E307" s="37">
        <v>13620000</v>
      </c>
      <c r="F307" s="37">
        <f>D307-E307</f>
        <v>-870000</v>
      </c>
    </row>
    <row r="308" spans="1:6" hidden="1" x14ac:dyDescent="0.3">
      <c r="A308" s="35" t="s">
        <v>9</v>
      </c>
      <c r="B308" s="108">
        <f>COUNTIF($A$19:A308,A308)</f>
        <v>24</v>
      </c>
      <c r="C308" s="36" t="s">
        <v>325</v>
      </c>
      <c r="D308" s="37">
        <f>8500000+1700000+1700000+1700000+1700000+1700000+1700000</f>
        <v>18700000</v>
      </c>
      <c r="E308" s="37">
        <f>8502000+1000000+5000000+1000000+4200000</f>
        <v>19702000</v>
      </c>
      <c r="F308" s="37">
        <f>D308-E308</f>
        <v>-1002000</v>
      </c>
    </row>
    <row r="309" spans="1:6" hidden="1" x14ac:dyDescent="0.3">
      <c r="A309" s="35" t="s">
        <v>5</v>
      </c>
      <c r="B309" s="108">
        <f>COUNTIF($A$19:A309,A309)</f>
        <v>25</v>
      </c>
      <c r="C309" s="36" t="s">
        <v>326</v>
      </c>
      <c r="D309" s="37">
        <f>8500000+1700000+1700000+1700000+1700000+1700000+1700000</f>
        <v>18700000</v>
      </c>
      <c r="E309" s="37">
        <v>20000000</v>
      </c>
      <c r="F309" s="37">
        <f>D309-E309</f>
        <v>-1300000</v>
      </c>
    </row>
    <row r="310" spans="1:6" hidden="1" x14ac:dyDescent="0.3">
      <c r="A310" s="35" t="s">
        <v>24</v>
      </c>
      <c r="B310" s="108">
        <f>COUNTIF($A$19:A310,A310)</f>
        <v>29</v>
      </c>
      <c r="C310" s="36" t="s">
        <v>327</v>
      </c>
      <c r="D310" s="37">
        <f>8500000+1700000</f>
        <v>10200000</v>
      </c>
      <c r="E310" s="37">
        <v>11500000</v>
      </c>
      <c r="F310" s="37">
        <f>D310-E310</f>
        <v>-1300000</v>
      </c>
    </row>
    <row r="311" spans="1:6" hidden="1" x14ac:dyDescent="0.3">
      <c r="A311" s="35" t="s">
        <v>19</v>
      </c>
      <c r="B311" s="108">
        <f>COUNTIF($A$19:A311,A311)</f>
        <v>24</v>
      </c>
      <c r="C311" s="36" t="s">
        <v>328</v>
      </c>
      <c r="D311" s="37">
        <f>8500000+1700000</f>
        <v>10200000</v>
      </c>
      <c r="E311" s="37">
        <v>11500000</v>
      </c>
      <c r="F311" s="37">
        <f>D311-E311</f>
        <v>-1300000</v>
      </c>
    </row>
    <row r="312" spans="1:6" x14ac:dyDescent="0.3">
      <c r="A312" s="35" t="s">
        <v>13</v>
      </c>
      <c r="B312" s="108">
        <f>COUNTIF($A$19:A312,A312)</f>
        <v>14</v>
      </c>
      <c r="C312" s="36" t="s">
        <v>329</v>
      </c>
      <c r="D312" s="37">
        <f>2*8500000*3/4</f>
        <v>12750000</v>
      </c>
      <c r="E312" s="37">
        <v>14282000</v>
      </c>
      <c r="F312" s="37">
        <f>D312-E312</f>
        <v>-1532000</v>
      </c>
    </row>
    <row r="313" spans="1:6" x14ac:dyDescent="0.3">
      <c r="A313" s="35" t="s">
        <v>13</v>
      </c>
      <c r="B313" s="108">
        <f>COUNTIF($A$19:A313,A313)</f>
        <v>15</v>
      </c>
      <c r="C313" s="36" t="s">
        <v>330</v>
      </c>
      <c r="D313" s="37">
        <f>2*8500000*3/4</f>
        <v>12750000</v>
      </c>
      <c r="E313" s="37">
        <v>14300000</v>
      </c>
      <c r="F313" s="37">
        <f>D313-E313</f>
        <v>-1550000</v>
      </c>
    </row>
    <row r="314" spans="1:6" hidden="1" x14ac:dyDescent="0.3">
      <c r="A314" s="35" t="s">
        <v>11</v>
      </c>
      <c r="B314" s="108">
        <f>COUNTIF($A$19:A314,A314)</f>
        <v>16</v>
      </c>
      <c r="C314" s="36" t="s">
        <v>331</v>
      </c>
      <c r="D314" s="37">
        <f>2*8500000*3/4</f>
        <v>12750000</v>
      </c>
      <c r="E314" s="37">
        <f>7769000+731000+2000000+1400000+1300000+1200000</f>
        <v>14400000</v>
      </c>
      <c r="F314" s="37">
        <f>D314-E314</f>
        <v>-1650000</v>
      </c>
    </row>
    <row r="315" spans="1:6" hidden="1" x14ac:dyDescent="0.3">
      <c r="A315" s="35" t="s">
        <v>17</v>
      </c>
      <c r="B315" s="108">
        <f>COUNTIF($A$19:A315,A315)</f>
        <v>21</v>
      </c>
      <c r="C315" s="36" t="s">
        <v>332</v>
      </c>
      <c r="D315" s="37">
        <f>8500000+1700000</f>
        <v>10200000</v>
      </c>
      <c r="E315" s="37">
        <v>11900000</v>
      </c>
      <c r="F315" s="37">
        <f>D315-E315</f>
        <v>-1700000</v>
      </c>
    </row>
    <row r="316" spans="1:6" hidden="1" x14ac:dyDescent="0.3">
      <c r="A316" s="35" t="s">
        <v>23</v>
      </c>
      <c r="B316" s="108">
        <f>COUNTIF($A$19:A316,A316)</f>
        <v>24</v>
      </c>
      <c r="C316" s="36" t="s">
        <v>333</v>
      </c>
      <c r="D316" s="37">
        <f>8500000+1700000</f>
        <v>10200000</v>
      </c>
      <c r="E316" s="37">
        <v>11901000</v>
      </c>
      <c r="F316" s="37">
        <f>D316-E316</f>
        <v>-1701000</v>
      </c>
    </row>
    <row r="317" spans="1:6" hidden="1" x14ac:dyDescent="0.3">
      <c r="A317" s="35" t="s">
        <v>21</v>
      </c>
      <c r="B317" s="108">
        <f>COUNTIF($A$19:A317,A317)</f>
        <v>25</v>
      </c>
      <c r="C317" s="36" t="s">
        <v>334</v>
      </c>
      <c r="D317" s="37">
        <f>8500000+1700000</f>
        <v>10200000</v>
      </c>
      <c r="E317" s="37">
        <v>11915000</v>
      </c>
      <c r="F317" s="37">
        <f>D317-E317</f>
        <v>-1715000</v>
      </c>
    </row>
    <row r="318" spans="1:6" x14ac:dyDescent="0.3">
      <c r="A318" s="35" t="s">
        <v>13</v>
      </c>
      <c r="B318" s="109">
        <f>COUNTIF($A$19:A319,A318)</f>
        <v>16</v>
      </c>
      <c r="C318" s="36" t="s">
        <v>335</v>
      </c>
      <c r="D318" s="37">
        <f>2*8500000*3/4</f>
        <v>12750000</v>
      </c>
      <c r="E318" s="37">
        <v>14525000</v>
      </c>
      <c r="F318" s="37">
        <f>D318-E318</f>
        <v>-1775000</v>
      </c>
    </row>
    <row r="319" spans="1:6" hidden="1" x14ac:dyDescent="0.3">
      <c r="A319" s="35" t="s">
        <v>25</v>
      </c>
      <c r="B319" s="108">
        <f>COUNTIF($A$19:A319,A319)</f>
        <v>28</v>
      </c>
      <c r="C319" s="36" t="s">
        <v>336</v>
      </c>
      <c r="D319" s="37">
        <f>7000000+1700000</f>
        <v>8700000</v>
      </c>
      <c r="E319" s="37">
        <v>10500000</v>
      </c>
      <c r="F319" s="37">
        <f>D319-E319</f>
        <v>-1800000</v>
      </c>
    </row>
    <row r="320" spans="1:6" hidden="1" x14ac:dyDescent="0.3">
      <c r="A320" s="35" t="s">
        <v>27</v>
      </c>
      <c r="B320" s="108">
        <f>COUNTIF($A$19:A320,A320)</f>
        <v>23</v>
      </c>
      <c r="C320" s="36" t="s">
        <v>337</v>
      </c>
      <c r="D320" s="37">
        <f>8500000+1700000</f>
        <v>10200000</v>
      </c>
      <c r="E320" s="37">
        <v>12000000</v>
      </c>
      <c r="F320" s="37">
        <f>D320-E320</f>
        <v>-1800000</v>
      </c>
    </row>
    <row r="321" spans="1:6" hidden="1" x14ac:dyDescent="0.3">
      <c r="A321" s="35" t="s">
        <v>15</v>
      </c>
      <c r="B321" s="108">
        <f>COUNTIF($A$19:A321,A321)</f>
        <v>24</v>
      </c>
      <c r="C321" s="36" t="s">
        <v>338</v>
      </c>
      <c r="D321" s="37">
        <f>8500000+1700000</f>
        <v>10200000</v>
      </c>
      <c r="E321" s="37">
        <v>12000000</v>
      </c>
      <c r="F321" s="37">
        <f>D321-E321</f>
        <v>-1800000</v>
      </c>
    </row>
    <row r="322" spans="1:6" hidden="1" x14ac:dyDescent="0.3">
      <c r="A322" s="35" t="s">
        <v>21</v>
      </c>
      <c r="B322" s="108">
        <f>COUNTIF($A$19:A322,A322)</f>
        <v>26</v>
      </c>
      <c r="C322" s="36" t="s">
        <v>339</v>
      </c>
      <c r="D322" s="37">
        <f>8500000+1700000</f>
        <v>10200000</v>
      </c>
      <c r="E322" s="37">
        <v>12127500</v>
      </c>
      <c r="F322" s="37">
        <f>D322-E322</f>
        <v>-1927500</v>
      </c>
    </row>
    <row r="323" spans="1:6" hidden="1" x14ac:dyDescent="0.3">
      <c r="A323" s="35" t="s">
        <v>15</v>
      </c>
      <c r="B323" s="108">
        <f>COUNTIF($A$19:A323,A323)</f>
        <v>25</v>
      </c>
      <c r="C323" s="36" t="s">
        <v>340</v>
      </c>
      <c r="D323" s="37">
        <f>8500000+1700000</f>
        <v>10200000</v>
      </c>
      <c r="E323" s="37">
        <v>12400000</v>
      </c>
      <c r="F323" s="37">
        <f>D323-E323</f>
        <v>-2200000</v>
      </c>
    </row>
    <row r="324" spans="1:6" hidden="1" x14ac:dyDescent="0.3">
      <c r="A324" s="35" t="s">
        <v>17</v>
      </c>
      <c r="B324" s="108">
        <f>COUNTIF($A$19:A324,A324)</f>
        <v>22</v>
      </c>
      <c r="C324" s="36" t="s">
        <v>341</v>
      </c>
      <c r="D324" s="37">
        <f>8500000+1700000</f>
        <v>10200000</v>
      </c>
      <c r="E324" s="37">
        <v>12500000</v>
      </c>
      <c r="F324" s="37">
        <f>D324-E324</f>
        <v>-2300000</v>
      </c>
    </row>
    <row r="325" spans="1:6" hidden="1" x14ac:dyDescent="0.3">
      <c r="A325" s="35" t="s">
        <v>5</v>
      </c>
      <c r="B325" s="108">
        <f>COUNTIF($A$19:A325,A325)</f>
        <v>26</v>
      </c>
      <c r="C325" s="36" t="s">
        <v>342</v>
      </c>
      <c r="D325" s="37">
        <f>8500000+1700000+1700000+1700000+1700000+1700000+1700000</f>
        <v>18700000</v>
      </c>
      <c r="E325" s="37">
        <v>21000000</v>
      </c>
      <c r="F325" s="37">
        <f>D325-E325</f>
        <v>-2300000</v>
      </c>
    </row>
    <row r="326" spans="1:6" hidden="1" x14ac:dyDescent="0.3">
      <c r="A326" s="35" t="s">
        <v>15</v>
      </c>
      <c r="B326" s="108">
        <f>COUNTIF($A$19:A326,A326)</f>
        <v>26</v>
      </c>
      <c r="C326" s="36" t="s">
        <v>343</v>
      </c>
      <c r="D326" s="37">
        <f>8500000+1700000</f>
        <v>10200000</v>
      </c>
      <c r="E326" s="37">
        <v>12500000</v>
      </c>
      <c r="F326" s="37">
        <f>D326-E326</f>
        <v>-2300000</v>
      </c>
    </row>
    <row r="327" spans="1:6" hidden="1" x14ac:dyDescent="0.3">
      <c r="A327" s="35" t="s">
        <v>11</v>
      </c>
      <c r="B327" s="108">
        <f>COUNTIF($A$19:A327,A327)</f>
        <v>17</v>
      </c>
      <c r="C327" s="36" t="s">
        <v>344</v>
      </c>
      <c r="D327" s="37">
        <f>2*8500000*3/4</f>
        <v>12750000</v>
      </c>
      <c r="E327" s="37">
        <v>15300000</v>
      </c>
      <c r="F327" s="37">
        <f>D327-E327</f>
        <v>-2550000</v>
      </c>
    </row>
    <row r="328" spans="1:6" hidden="1" x14ac:dyDescent="0.3">
      <c r="A328" s="35" t="s">
        <v>11</v>
      </c>
      <c r="B328" s="108">
        <f>COUNTIF($A$19:A328,A328)</f>
        <v>18</v>
      </c>
      <c r="C328" s="36" t="s">
        <v>345</v>
      </c>
      <c r="D328" s="37">
        <f>2*8500000*3/4</f>
        <v>12750000</v>
      </c>
      <c r="E328" s="37">
        <v>15301000</v>
      </c>
      <c r="F328" s="37">
        <f>D328-E328</f>
        <v>-2551000</v>
      </c>
    </row>
    <row r="329" spans="1:6" hidden="1" x14ac:dyDescent="0.3">
      <c r="A329" s="35" t="s">
        <v>17</v>
      </c>
      <c r="B329" s="108">
        <f>COUNTIF($A$19:A329,A329)</f>
        <v>23</v>
      </c>
      <c r="C329" s="36" t="s">
        <v>346</v>
      </c>
      <c r="D329" s="37">
        <f>8500000+1700000</f>
        <v>10200000</v>
      </c>
      <c r="E329" s="37">
        <v>13000000</v>
      </c>
      <c r="F329" s="37">
        <f>D329-E329</f>
        <v>-2800000</v>
      </c>
    </row>
    <row r="330" spans="1:6" hidden="1" x14ac:dyDescent="0.3">
      <c r="A330" s="35" t="s">
        <v>19</v>
      </c>
      <c r="B330" s="108">
        <f>COUNTIF($A$19:A330,A330)</f>
        <v>25</v>
      </c>
      <c r="C330" s="36" t="s">
        <v>347</v>
      </c>
      <c r="D330" s="37">
        <f>8500000+1700000</f>
        <v>10200000</v>
      </c>
      <c r="E330" s="37">
        <v>13000000</v>
      </c>
      <c r="F330" s="37">
        <f>D330-E330</f>
        <v>-2800000</v>
      </c>
    </row>
    <row r="331" spans="1:6" hidden="1" x14ac:dyDescent="0.3">
      <c r="A331" s="35" t="s">
        <v>11</v>
      </c>
      <c r="B331" s="108">
        <f>COUNTIF($A$19:A331,A331)</f>
        <v>19</v>
      </c>
      <c r="C331" s="36" t="s">
        <v>348</v>
      </c>
      <c r="D331" s="37">
        <f>2*8500000*3/4</f>
        <v>12750000</v>
      </c>
      <c r="E331" s="37">
        <v>15800000</v>
      </c>
      <c r="F331" s="37">
        <f>D331-E331</f>
        <v>-3050000</v>
      </c>
    </row>
    <row r="332" spans="1:6" x14ac:dyDescent="0.3">
      <c r="A332" s="35" t="s">
        <v>13</v>
      </c>
      <c r="B332" s="108">
        <f>COUNTIF($A$19:A332,A332)</f>
        <v>17</v>
      </c>
      <c r="C332" s="36" t="s">
        <v>349</v>
      </c>
      <c r="D332" s="37">
        <f>2*8500000*3/4</f>
        <v>12750000</v>
      </c>
      <c r="E332" s="37">
        <v>16203000</v>
      </c>
      <c r="F332" s="37">
        <f>D332-E332</f>
        <v>-3453000</v>
      </c>
    </row>
    <row r="333" spans="1:6" hidden="1" x14ac:dyDescent="0.3">
      <c r="A333" s="35" t="s">
        <v>11</v>
      </c>
      <c r="B333" s="108">
        <f>COUNTIF($A$19:A333,A333)</f>
        <v>20</v>
      </c>
      <c r="C333" s="36" t="s">
        <v>350</v>
      </c>
      <c r="D333" s="37">
        <f>2*8500000*3/4</f>
        <v>12750000</v>
      </c>
      <c r="E333" s="37">
        <f>8500000+5000000+3000000</f>
        <v>16500000</v>
      </c>
      <c r="F333" s="37">
        <f>D333-E333</f>
        <v>-3750000</v>
      </c>
    </row>
    <row r="334" spans="1:6" hidden="1" x14ac:dyDescent="0.3">
      <c r="A334" s="35" t="s">
        <v>23</v>
      </c>
      <c r="B334" s="108">
        <f>COUNTIF($A$19:A334,A334)</f>
        <v>25</v>
      </c>
      <c r="C334" s="36" t="s">
        <v>351</v>
      </c>
      <c r="D334" s="37">
        <f>8500000+1700000</f>
        <v>10200000</v>
      </c>
      <c r="E334" s="37">
        <v>14000000</v>
      </c>
      <c r="F334" s="37">
        <f>D334-E334</f>
        <v>-3800000</v>
      </c>
    </row>
    <row r="335" spans="1:6" hidden="1" x14ac:dyDescent="0.3">
      <c r="A335" s="35" t="s">
        <v>24</v>
      </c>
      <c r="B335" s="108">
        <f>COUNTIF($A$19:A335,A335)</f>
        <v>30</v>
      </c>
      <c r="C335" s="36" t="s">
        <v>352</v>
      </c>
      <c r="D335" s="37">
        <f>8500000+1700000</f>
        <v>10200000</v>
      </c>
      <c r="E335" s="37">
        <v>14000000</v>
      </c>
      <c r="F335" s="37">
        <f>D335-E335</f>
        <v>-3800000</v>
      </c>
    </row>
    <row r="336" spans="1:6" hidden="1" x14ac:dyDescent="0.3">
      <c r="A336" s="35" t="s">
        <v>11</v>
      </c>
      <c r="B336" s="108">
        <f>COUNTIF($A$19:A336,A336)</f>
        <v>21</v>
      </c>
      <c r="C336" s="36" t="s">
        <v>353</v>
      </c>
      <c r="D336" s="37">
        <f>2*8500000*3/4</f>
        <v>12750000</v>
      </c>
      <c r="E336" s="37">
        <v>17000000</v>
      </c>
      <c r="F336" s="37">
        <f>D336-E336</f>
        <v>-4250000</v>
      </c>
    </row>
    <row r="337" spans="1:6" x14ac:dyDescent="0.3">
      <c r="A337" s="35" t="s">
        <v>13</v>
      </c>
      <c r="B337" s="108">
        <f>COUNTIF($A$19:A337,A337)</f>
        <v>18</v>
      </c>
      <c r="C337" s="36" t="s">
        <v>354</v>
      </c>
      <c r="D337" s="37">
        <f>2*8500000*3/4</f>
        <v>12750000</v>
      </c>
      <c r="E337" s="37">
        <f>4500000+2000000+2000000+8500000</f>
        <v>17000000</v>
      </c>
      <c r="F337" s="37">
        <f>D337-E337</f>
        <v>-4250000</v>
      </c>
    </row>
    <row r="338" spans="1:6" hidden="1" x14ac:dyDescent="0.3">
      <c r="A338" s="35" t="s">
        <v>11</v>
      </c>
      <c r="B338" s="108">
        <f>COUNTIF($A$19:A338,A338)</f>
        <v>22</v>
      </c>
      <c r="C338" s="36" t="s">
        <v>355</v>
      </c>
      <c r="D338" s="37">
        <f>2*8500000*3/4</f>
        <v>12750000</v>
      </c>
      <c r="E338" s="37">
        <v>17000000</v>
      </c>
      <c r="F338" s="37">
        <f t="shared" ref="F323:F354" si="3">D338-E338</f>
        <v>-4250000</v>
      </c>
    </row>
    <row r="339" spans="1:6" hidden="1" x14ac:dyDescent="0.3">
      <c r="A339" s="35" t="s">
        <v>5</v>
      </c>
      <c r="B339" s="108">
        <f>COUNTIF($A$19:A339,A339)</f>
        <v>27</v>
      </c>
      <c r="C339" s="36" t="s">
        <v>356</v>
      </c>
      <c r="D339" s="37">
        <f>8500000+1700000+1700000+1700000+1700000+1700000+1700000</f>
        <v>18700000</v>
      </c>
      <c r="E339" s="37">
        <v>25500000</v>
      </c>
      <c r="F339" s="37">
        <f t="shared" si="3"/>
        <v>-6800000</v>
      </c>
    </row>
    <row r="340" spans="1:6" hidden="1" x14ac:dyDescent="0.3">
      <c r="A340" s="35" t="s">
        <v>15</v>
      </c>
      <c r="B340" s="108">
        <f>COUNTIF($A$19:A340,A340)</f>
        <v>27</v>
      </c>
      <c r="C340" s="36" t="s">
        <v>357</v>
      </c>
      <c r="D340" s="37">
        <f>8500000+1700000</f>
        <v>10200000</v>
      </c>
      <c r="E340" s="37">
        <v>17000000</v>
      </c>
      <c r="F340" s="37">
        <f t="shared" si="3"/>
        <v>-6800000</v>
      </c>
    </row>
    <row r="341" spans="1:6" x14ac:dyDescent="0.3">
      <c r="A341" s="83"/>
      <c r="B341" s="84"/>
      <c r="C341" s="85" t="s">
        <v>358</v>
      </c>
      <c r="D341" s="86">
        <f>SUBTOTAL(109,Таблица1[Shu vaqtgacha bo''lishi kerak bo''lgan to''lov])</f>
        <v>229500000</v>
      </c>
      <c r="E341" s="87">
        <f>SUBTOTAL(109,Таблица1[Jami])</f>
        <v>219109000</v>
      </c>
      <c r="F341" s="86">
        <f t="array" aca="1" ref="F341" ca="1">SUMPRODUCT(SUBTOTAL(109,OFFSET(Таблица1[Shu vaqtgacha qarzi],ROW(Таблица1[Shu vaqtgacha qarzi])-MIN(ROW(Таблица1[Shu vaqtgacha qarzi])),0,1))*(Таблица1[Shu vaqtgacha qarzi]&gt;0))</f>
        <v>23601000</v>
      </c>
    </row>
  </sheetData>
  <autoFilter ref="C1:F15" xr:uid="{00000000-0009-0000-0000-000000000000}">
    <filterColumn colId="3">
      <filters>
        <filter val="1 852 000"/>
        <filter val="10 295 000"/>
        <filter val="12 880 000"/>
        <filter val="2 369 500"/>
        <filter val="2 599 000"/>
        <filter val="300 000"/>
        <filter val="4 540 000"/>
        <filter val="5 262 500"/>
        <filter val="55 153 059"/>
        <filter val="59"/>
        <filter val="6 375 000"/>
        <filter val="8 680 000"/>
      </filters>
    </filterColumn>
  </autoFilter>
  <mergeCells count="1">
    <mergeCell ref="C15:D15"/>
  </mergeCells>
  <conditionalFormatting sqref="A18:C18">
    <cfRule type="duplicateValues" dxfId="639" priority="4339"/>
    <cfRule type="duplicateValues" dxfId="638" priority="4338"/>
    <cfRule type="duplicateValues" dxfId="637" priority="4337"/>
  </conditionalFormatting>
  <conditionalFormatting sqref="C16:C115 C117:C292 C341:C1048576">
    <cfRule type="duplicateValues" dxfId="636" priority="74"/>
  </conditionalFormatting>
  <conditionalFormatting sqref="C18:C115 C117:C137 C160:C163 C342:C1048576">
    <cfRule type="duplicateValues" dxfId="635" priority="172"/>
    <cfRule type="duplicateValues" dxfId="634" priority="171"/>
    <cfRule type="duplicateValues" dxfId="633" priority="170"/>
  </conditionalFormatting>
  <conditionalFormatting sqref="C19:C115 C117:C230 C238:C292">
    <cfRule type="duplicateValues" dxfId="632" priority="5351"/>
  </conditionalFormatting>
  <conditionalFormatting sqref="C19:C319 C321:C330 C333:C336">
    <cfRule type="duplicateValues" dxfId="631" priority="5602"/>
  </conditionalFormatting>
  <conditionalFormatting sqref="C138">
    <cfRule type="duplicateValues" dxfId="630" priority="165"/>
    <cfRule type="duplicateValues" dxfId="629" priority="164"/>
    <cfRule type="duplicateValues" dxfId="628" priority="163"/>
  </conditionalFormatting>
  <conditionalFormatting sqref="C139">
    <cfRule type="duplicateValues" dxfId="627" priority="162"/>
    <cfRule type="duplicateValues" dxfId="626" priority="161"/>
    <cfRule type="duplicateValues" dxfId="625" priority="160"/>
  </conditionalFormatting>
  <conditionalFormatting sqref="C140">
    <cfRule type="duplicateValues" dxfId="624" priority="159"/>
    <cfRule type="duplicateValues" dxfId="623" priority="158"/>
    <cfRule type="duplicateValues" dxfId="622" priority="157"/>
  </conditionalFormatting>
  <conditionalFormatting sqref="C141">
    <cfRule type="duplicateValues" dxfId="621" priority="156"/>
    <cfRule type="duplicateValues" dxfId="620" priority="155"/>
    <cfRule type="duplicateValues" dxfId="619" priority="154"/>
  </conditionalFormatting>
  <conditionalFormatting sqref="C142">
    <cfRule type="duplicateValues" dxfId="618" priority="143"/>
    <cfRule type="duplicateValues" dxfId="617" priority="142"/>
    <cfRule type="duplicateValues" dxfId="616" priority="144"/>
  </conditionalFormatting>
  <conditionalFormatting sqref="C143">
    <cfRule type="duplicateValues" dxfId="615" priority="136"/>
    <cfRule type="duplicateValues" dxfId="614" priority="138"/>
    <cfRule type="duplicateValues" dxfId="613" priority="137"/>
  </conditionalFormatting>
  <conditionalFormatting sqref="C144">
    <cfRule type="duplicateValues" dxfId="612" priority="135"/>
    <cfRule type="duplicateValues" dxfId="611" priority="134"/>
    <cfRule type="duplicateValues" dxfId="610" priority="133"/>
  </conditionalFormatting>
  <conditionalFormatting sqref="C145">
    <cfRule type="duplicateValues" dxfId="609" priority="153"/>
    <cfRule type="duplicateValues" dxfId="608" priority="152"/>
    <cfRule type="duplicateValues" dxfId="607" priority="151"/>
  </conditionalFormatting>
  <conditionalFormatting sqref="C146">
    <cfRule type="duplicateValues" dxfId="606" priority="147"/>
    <cfRule type="duplicateValues" dxfId="605" priority="146"/>
    <cfRule type="duplicateValues" dxfId="604" priority="145"/>
  </conditionalFormatting>
  <conditionalFormatting sqref="C147">
    <cfRule type="duplicateValues" dxfId="603" priority="148"/>
    <cfRule type="duplicateValues" dxfId="602" priority="149"/>
    <cfRule type="duplicateValues" dxfId="601" priority="150"/>
  </conditionalFormatting>
  <conditionalFormatting sqref="C148">
    <cfRule type="duplicateValues" dxfId="600" priority="132"/>
    <cfRule type="duplicateValues" dxfId="599" priority="131"/>
    <cfRule type="duplicateValues" dxfId="598" priority="130"/>
  </conditionalFormatting>
  <conditionalFormatting sqref="C149">
    <cfRule type="duplicateValues" dxfId="597" priority="129"/>
    <cfRule type="duplicateValues" dxfId="596" priority="128"/>
    <cfRule type="duplicateValues" dxfId="595" priority="127"/>
  </conditionalFormatting>
  <conditionalFormatting sqref="C150">
    <cfRule type="duplicateValues" dxfId="594" priority="126"/>
    <cfRule type="duplicateValues" dxfId="593" priority="125"/>
    <cfRule type="duplicateValues" dxfId="592" priority="124"/>
  </conditionalFormatting>
  <conditionalFormatting sqref="C151">
    <cfRule type="duplicateValues" dxfId="591" priority="123"/>
    <cfRule type="duplicateValues" dxfId="590" priority="122"/>
    <cfRule type="duplicateValues" dxfId="589" priority="121"/>
  </conditionalFormatting>
  <conditionalFormatting sqref="C152">
    <cfRule type="duplicateValues" dxfId="588" priority="120"/>
    <cfRule type="duplicateValues" dxfId="587" priority="119"/>
    <cfRule type="duplicateValues" dxfId="586" priority="118"/>
  </conditionalFormatting>
  <conditionalFormatting sqref="C153">
    <cfRule type="duplicateValues" dxfId="585" priority="117"/>
    <cfRule type="duplicateValues" dxfId="584" priority="116"/>
    <cfRule type="duplicateValues" dxfId="583" priority="115"/>
  </conditionalFormatting>
  <conditionalFormatting sqref="C154">
    <cfRule type="duplicateValues" dxfId="582" priority="114"/>
    <cfRule type="duplicateValues" dxfId="581" priority="113"/>
    <cfRule type="duplicateValues" dxfId="580" priority="112"/>
  </conditionalFormatting>
  <conditionalFormatting sqref="C155">
    <cfRule type="duplicateValues" dxfId="579" priority="111"/>
    <cfRule type="duplicateValues" dxfId="578" priority="110"/>
    <cfRule type="duplicateValues" dxfId="577" priority="109"/>
  </conditionalFormatting>
  <conditionalFormatting sqref="C156">
    <cfRule type="duplicateValues" dxfId="576" priority="108"/>
    <cfRule type="duplicateValues" dxfId="575" priority="107"/>
    <cfRule type="duplicateValues" dxfId="574" priority="106"/>
  </conditionalFormatting>
  <conditionalFormatting sqref="C157">
    <cfRule type="duplicateValues" dxfId="573" priority="104"/>
    <cfRule type="duplicateValues" dxfId="572" priority="103"/>
    <cfRule type="duplicateValues" dxfId="571" priority="105"/>
  </conditionalFormatting>
  <conditionalFormatting sqref="C158">
    <cfRule type="duplicateValues" dxfId="570" priority="101"/>
    <cfRule type="duplicateValues" dxfId="569" priority="102"/>
    <cfRule type="duplicateValues" dxfId="568" priority="100"/>
  </conditionalFormatting>
  <conditionalFormatting sqref="C159">
    <cfRule type="duplicateValues" dxfId="567" priority="99"/>
    <cfRule type="duplicateValues" dxfId="566" priority="98"/>
    <cfRule type="duplicateValues" dxfId="565" priority="97"/>
  </conditionalFormatting>
  <conditionalFormatting sqref="C231">
    <cfRule type="duplicateValues" dxfId="564" priority="92"/>
    <cfRule type="duplicateValues" dxfId="563" priority="91"/>
    <cfRule type="duplicateValues" dxfId="562" priority="90"/>
  </conditionalFormatting>
  <conditionalFormatting sqref="C232">
    <cfRule type="duplicateValues" dxfId="561" priority="85"/>
    <cfRule type="duplicateValues" dxfId="560" priority="86"/>
    <cfRule type="duplicateValues" dxfId="559" priority="84"/>
  </conditionalFormatting>
  <conditionalFormatting sqref="C233">
    <cfRule type="duplicateValues" dxfId="558" priority="83"/>
    <cfRule type="duplicateValues" dxfId="557" priority="82"/>
    <cfRule type="duplicateValues" dxfId="556" priority="81"/>
  </conditionalFormatting>
  <conditionalFormatting sqref="C234">
    <cfRule type="duplicateValues" dxfId="555" priority="80"/>
    <cfRule type="duplicateValues" dxfId="554" priority="79"/>
    <cfRule type="duplicateValues" dxfId="553" priority="78"/>
  </conditionalFormatting>
  <conditionalFormatting sqref="C235">
    <cfRule type="duplicateValues" dxfId="552" priority="76"/>
    <cfRule type="duplicateValues" dxfId="551" priority="77"/>
    <cfRule type="duplicateValues" dxfId="550" priority="75"/>
  </conditionalFormatting>
  <conditionalFormatting sqref="C295">
    <cfRule type="duplicateValues" dxfId="549" priority="71"/>
    <cfRule type="duplicateValues" dxfId="548" priority="70"/>
    <cfRule type="duplicateValues" dxfId="547" priority="69"/>
    <cfRule type="duplicateValues" dxfId="546" priority="68"/>
  </conditionalFormatting>
  <conditionalFormatting sqref="C299">
    <cfRule type="duplicateValues" dxfId="545" priority="65"/>
    <cfRule type="duplicateValues" dxfId="544" priority="64"/>
    <cfRule type="duplicateValues" dxfId="543" priority="63"/>
  </conditionalFormatting>
  <conditionalFormatting sqref="C300">
    <cfRule type="duplicateValues" dxfId="542" priority="60"/>
    <cfRule type="duplicateValues" dxfId="541" priority="62"/>
    <cfRule type="duplicateValues" dxfId="540" priority="61"/>
  </conditionalFormatting>
  <conditionalFormatting sqref="C301">
    <cfRule type="duplicateValues" dxfId="539" priority="56"/>
    <cfRule type="duplicateValues" dxfId="538" priority="55"/>
    <cfRule type="duplicateValues" dxfId="537" priority="54"/>
  </conditionalFormatting>
  <conditionalFormatting sqref="C302">
    <cfRule type="duplicateValues" dxfId="536" priority="52"/>
    <cfRule type="duplicateValues" dxfId="535" priority="53"/>
    <cfRule type="duplicateValues" dxfId="534" priority="51"/>
  </conditionalFormatting>
  <conditionalFormatting sqref="C303">
    <cfRule type="duplicateValues" dxfId="533" priority="50"/>
    <cfRule type="duplicateValues" dxfId="532" priority="49"/>
    <cfRule type="duplicateValues" dxfId="531" priority="48"/>
  </conditionalFormatting>
  <conditionalFormatting sqref="C320">
    <cfRule type="duplicateValues" dxfId="530" priority="20"/>
    <cfRule type="duplicateValues" dxfId="529" priority="16"/>
    <cfRule type="duplicateValues" dxfId="528" priority="17"/>
    <cfRule type="duplicateValues" dxfId="527" priority="18"/>
    <cfRule type="duplicateValues" dxfId="526" priority="19"/>
  </conditionalFormatting>
  <conditionalFormatting sqref="C330">
    <cfRule type="duplicateValues" dxfId="525" priority="34"/>
    <cfRule type="duplicateValues" dxfId="524" priority="33"/>
    <cfRule type="duplicateValues" dxfId="523" priority="32"/>
  </conditionalFormatting>
  <conditionalFormatting sqref="C331">
    <cfRule type="duplicateValues" dxfId="522" priority="9"/>
    <cfRule type="duplicateValues" dxfId="521" priority="10"/>
    <cfRule type="duplicateValues" dxfId="520" priority="12"/>
    <cfRule type="duplicateValues" dxfId="519" priority="11"/>
    <cfRule type="duplicateValues" dxfId="518" priority="13"/>
    <cfRule type="duplicateValues" dxfId="517" priority="14"/>
  </conditionalFormatting>
  <conditionalFormatting sqref="C332">
    <cfRule type="duplicateValues" dxfId="516" priority="4"/>
    <cfRule type="duplicateValues" dxfId="515" priority="2"/>
    <cfRule type="duplicateValues" dxfId="514" priority="8"/>
    <cfRule type="duplicateValues" dxfId="513" priority="7"/>
    <cfRule type="duplicateValues" dxfId="512" priority="6"/>
    <cfRule type="duplicateValues" dxfId="511" priority="5"/>
  </conditionalFormatting>
  <conditionalFormatting sqref="C333">
    <cfRule type="duplicateValues" dxfId="510" priority="30"/>
    <cfRule type="duplicateValues" dxfId="509" priority="31"/>
    <cfRule type="duplicateValues" dxfId="508" priority="29"/>
  </conditionalFormatting>
  <conditionalFormatting sqref="C334">
    <cfRule type="duplicateValues" dxfId="507" priority="26"/>
    <cfRule type="duplicateValues" dxfId="506" priority="27"/>
    <cfRule type="duplicateValues" dxfId="505" priority="28"/>
  </conditionalFormatting>
  <conditionalFormatting sqref="C335">
    <cfRule type="duplicateValues" dxfId="504" priority="23"/>
    <cfRule type="duplicateValues" dxfId="503" priority="24"/>
    <cfRule type="duplicateValues" dxfId="502" priority="25"/>
  </conditionalFormatting>
  <conditionalFormatting sqref="F1 F15">
    <cfRule type="duplicateValues" dxfId="501" priority="66"/>
    <cfRule type="duplicateValues" dxfId="500" priority="72"/>
  </conditionalFormatting>
  <conditionalFormatting sqref="F2:F14">
    <cfRule type="duplicateValues" dxfId="499" priority="5620"/>
    <cfRule type="cellIs" dxfId="498" priority="5619" operator="equal">
      <formula>0</formula>
    </cfRule>
  </conditionalFormatting>
  <conditionalFormatting sqref="F19:F319 G169:G330 G333:G1048576">
    <cfRule type="cellIs" dxfId="497" priority="166" operator="greaterThan">
      <formula>0</formula>
    </cfRule>
  </conditionalFormatting>
  <conditionalFormatting sqref="F320:F336">
    <cfRule type="cellIs" dxfId="496" priority="3" operator="greaterThan">
      <formula>0</formula>
    </cfRule>
  </conditionalFormatting>
  <conditionalFormatting sqref="F321:F336 F19:F319 F341">
    <cfRule type="cellIs" dxfId="495" priority="35" operator="lessThan">
      <formula>1</formula>
    </cfRule>
  </conditionalFormatting>
  <pageMargins left="0.42" right="0.16" top="0.2" bottom="0.2" header="0.2" footer="0.2"/>
  <pageSetup paperSize="9" scale="92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90" zoomScaleNormal="190" workbookViewId="0">
      <selection activeCell="G17" sqref="G17"/>
    </sheetView>
  </sheetViews>
  <sheetFormatPr defaultRowHeight="15" x14ac:dyDescent="0.25"/>
  <cols>
    <col min="4" max="4" width="8.5703125" customWidth="1"/>
    <col min="5" max="6" width="15.28515625" style="2" customWidth="1"/>
    <col min="7" max="7" width="15.28515625" customWidth="1"/>
  </cols>
  <sheetData>
    <row r="1" spans="1:7" s="115" customFormat="1" ht="32.25" customHeight="1" x14ac:dyDescent="0.25">
      <c r="A1" s="109" t="s">
        <v>359</v>
      </c>
      <c r="B1" s="109" t="s">
        <v>360</v>
      </c>
      <c r="C1" s="109" t="s">
        <v>361</v>
      </c>
      <c r="D1" s="109" t="s">
        <v>2</v>
      </c>
      <c r="E1" s="116" t="s">
        <v>362</v>
      </c>
      <c r="F1" s="116" t="s">
        <v>363</v>
      </c>
      <c r="G1" s="109" t="s">
        <v>364</v>
      </c>
    </row>
    <row r="2" spans="1:7" x14ac:dyDescent="0.25">
      <c r="A2" s="117">
        <v>1</v>
      </c>
      <c r="B2" s="117">
        <v>2</v>
      </c>
      <c r="C2" s="118" t="str">
        <f>KONTRAKTLAR!D2</f>
        <v>24-11</v>
      </c>
      <c r="D2" s="117">
        <f>KONTRAKTLAR!E2</f>
        <v>27</v>
      </c>
      <c r="E2" s="119">
        <f>IF(B2=1,8500000,IF(B2=2,17000000,""))*D2</f>
        <v>459000000</v>
      </c>
      <c r="F2" s="119">
        <f>SUMIFS(KONTRAKTLAR!E:E, KONTRAKTLAR!A:A, 'yil yakuniga qadar'!C2, KONTRAKTLAR!E:E, "&gt;0")</f>
        <v>490887926.47000003</v>
      </c>
      <c r="G2" s="120">
        <f>E2-F2</f>
        <v>-31887926.470000029</v>
      </c>
    </row>
    <row r="3" spans="1:7" x14ac:dyDescent="0.25">
      <c r="A3" s="117">
        <v>2</v>
      </c>
      <c r="B3" s="117">
        <v>2</v>
      </c>
      <c r="C3" s="118" t="str">
        <f>KONTRAKTLAR!D3</f>
        <v>24-12</v>
      </c>
      <c r="D3" s="117">
        <f>KONTRAKTLAR!E3</f>
        <v>24</v>
      </c>
      <c r="E3" s="119">
        <f>IF(B3=1,8500000,IF(B3=2,17000000,""))*D3</f>
        <v>408000000</v>
      </c>
      <c r="F3" s="119">
        <f>SUMIFS(KONTRAKTLAR!E:E, KONTRAKTLAR!A:A, 'yil yakuniga qadar'!C3, KONTRAKTLAR!E:E, "&gt;0")</f>
        <v>419953500</v>
      </c>
      <c r="G3" s="120">
        <f>E3-F3</f>
        <v>-11953500</v>
      </c>
    </row>
    <row r="4" spans="1:7" x14ac:dyDescent="0.25">
      <c r="A4" s="117">
        <v>3</v>
      </c>
      <c r="B4" s="117">
        <v>2</v>
      </c>
      <c r="C4" s="118" t="str">
        <f>KONTRAKTLAR!D4</f>
        <v>24-13</v>
      </c>
      <c r="D4" s="117">
        <f>KONTRAKTLAR!E4</f>
        <v>24</v>
      </c>
      <c r="E4" s="119">
        <f>IF(B4=1,8500000,IF(B4=2,17000000,""))*D4-8500000</f>
        <v>399500000</v>
      </c>
      <c r="F4" s="119">
        <f>SUMIFS(KONTRAKTLAR!E:E, KONTRAKTLAR!A:A, 'yil yakuniga qadar'!C4, KONTRAKTLAR!E:E, "&gt;0")</f>
        <v>421947750</v>
      </c>
      <c r="G4" s="120">
        <f>E4-F4</f>
        <v>-22447750</v>
      </c>
    </row>
    <row r="5" spans="1:7" x14ac:dyDescent="0.25">
      <c r="A5" s="131">
        <v>4</v>
      </c>
      <c r="B5" s="131">
        <v>2</v>
      </c>
      <c r="C5" s="132" t="e">
        <f>KONTRAKTLAR!#REF!</f>
        <v>#REF!</v>
      </c>
      <c r="D5" s="131" t="e">
        <f>KONTRAKTLAR!#REF!</f>
        <v>#REF!</v>
      </c>
      <c r="E5" s="133" t="e">
        <f>IF(B5=1,8500000,IF(B5=2,17000000,""))*D5-21250000</f>
        <v>#REF!</v>
      </c>
      <c r="F5" s="133">
        <f>SUMIFS(KONTRAKTLAR!E:E, KONTRAKTLAR!A:A, 'yil yakuniga qadar'!C5, KONTRAKTLAR!E:E, "&gt;0")</f>
        <v>0</v>
      </c>
      <c r="G5" s="133">
        <f>SUMIFS(KONTRAKTLAR!F:F, KONTRAKTLAR!A:A, 'yil yakuniga qadar'!C5, KONTRAKTLAR!F:F, "&gt;0")</f>
        <v>0</v>
      </c>
    </row>
    <row r="6" spans="1:7" x14ac:dyDescent="0.25">
      <c r="A6" s="117">
        <v>5</v>
      </c>
      <c r="B6" s="117">
        <v>2</v>
      </c>
      <c r="C6" s="118" t="str">
        <f>KONTRAKTLAR!D5</f>
        <v>24-15</v>
      </c>
      <c r="D6" s="117">
        <f>KONTRAKTLAR!E5</f>
        <v>22</v>
      </c>
      <c r="E6" s="119">
        <f t="shared" ref="E6:E13" si="0">IF(B6=1,8500000,IF(B6=2,17000000,""))*D6</f>
        <v>374000000</v>
      </c>
      <c r="F6" s="119">
        <f>SUMIFS(KONTRAKTLAR!E:E, KONTRAKTLAR!A:A, 'yil yakuniga qadar'!C6, KONTRAKTLAR!E:E, "&gt;0")</f>
        <v>302552000</v>
      </c>
      <c r="G6" s="120">
        <f t="shared" ref="G6:G15" si="1">E6-F6</f>
        <v>71448000</v>
      </c>
    </row>
    <row r="7" spans="1:7" x14ac:dyDescent="0.25">
      <c r="A7" s="117">
        <v>6</v>
      </c>
      <c r="B7" s="117">
        <v>2</v>
      </c>
      <c r="C7" s="118" t="str">
        <f>KONTRAKTLAR!D6</f>
        <v>24-16</v>
      </c>
      <c r="D7" s="117">
        <f>KONTRAKTLAR!E6</f>
        <v>18</v>
      </c>
      <c r="E7" s="119">
        <f t="shared" si="0"/>
        <v>306000000</v>
      </c>
      <c r="F7" s="119">
        <f>SUMIFS(KONTRAKTLAR!E:E, KONTRAKTLAR!A:A, 'yil yakuniga qadar'!C7, KONTRAKTLAR!E:E, "&gt;0")</f>
        <v>219109000</v>
      </c>
      <c r="G7" s="120">
        <f t="shared" si="1"/>
        <v>86891000</v>
      </c>
    </row>
    <row r="8" spans="1:7" x14ac:dyDescent="0.25">
      <c r="A8" s="117">
        <v>7</v>
      </c>
      <c r="B8" s="117">
        <v>1</v>
      </c>
      <c r="C8" s="118" t="str">
        <f>KONTRAKTLAR!D7</f>
        <v>25-16</v>
      </c>
      <c r="D8" s="117">
        <f>KONTRAKTLAR!E7</f>
        <v>27</v>
      </c>
      <c r="E8" s="119">
        <f t="shared" si="0"/>
        <v>229500000</v>
      </c>
      <c r="F8" s="119">
        <f>SUMIFS(KONTRAKTLAR!E:E, KONTRAKTLAR!A:A, 'yil yakuniga qadar'!C8, KONTRAKTLAR!E:E, "&gt;0")</f>
        <v>237897100</v>
      </c>
      <c r="G8" s="120">
        <f t="shared" si="1"/>
        <v>-8397100</v>
      </c>
    </row>
    <row r="9" spans="1:7" x14ac:dyDescent="0.25">
      <c r="A9" s="117">
        <v>8</v>
      </c>
      <c r="B9" s="117">
        <v>1</v>
      </c>
      <c r="C9" s="118" t="str">
        <f>KONTRAKTLAR!D8</f>
        <v>25-17</v>
      </c>
      <c r="D9" s="117">
        <f>KONTRAKTLAR!E8</f>
        <v>23</v>
      </c>
      <c r="E9" s="119">
        <f t="shared" si="0"/>
        <v>195500000</v>
      </c>
      <c r="F9" s="119">
        <f>SUMIFS(KONTRAKTLAR!E:E, KONTRAKTLAR!A:A, 'yil yakuniga qadar'!C9, KONTRAKTLAR!E:E, "&gt;0")</f>
        <v>211283000</v>
      </c>
      <c r="G9" s="120">
        <f t="shared" si="1"/>
        <v>-15783000</v>
      </c>
    </row>
    <row r="10" spans="1:7" x14ac:dyDescent="0.25">
      <c r="A10" s="117">
        <v>9</v>
      </c>
      <c r="B10" s="117">
        <v>1</v>
      </c>
      <c r="C10" s="118" t="str">
        <f>KONTRAKTLAR!D9</f>
        <v>25-18</v>
      </c>
      <c r="D10" s="117">
        <f>KONTRAKTLAR!E9</f>
        <v>25</v>
      </c>
      <c r="E10" s="119">
        <f t="shared" si="0"/>
        <v>212500000</v>
      </c>
      <c r="F10" s="119">
        <f>SUMIFS(KONTRAKTLAR!E:E, KONTRAKTLAR!A:A, 'yil yakuniga qadar'!C10, KONTRAKTLAR!E:E, "&gt;0")</f>
        <v>229929257</v>
      </c>
      <c r="G10" s="120">
        <f t="shared" si="1"/>
        <v>-17429257</v>
      </c>
    </row>
    <row r="11" spans="1:7" x14ac:dyDescent="0.25">
      <c r="A11" s="117">
        <v>10</v>
      </c>
      <c r="B11" s="117">
        <v>1</v>
      </c>
      <c r="C11" s="118" t="str">
        <f>KONTRAKTLAR!D10</f>
        <v>25-19</v>
      </c>
      <c r="D11" s="117">
        <f>KONTRAKTLAR!E10</f>
        <v>26</v>
      </c>
      <c r="E11" s="119">
        <f t="shared" si="0"/>
        <v>221000000</v>
      </c>
      <c r="F11" s="119">
        <f>SUMIFS(KONTRAKTLAR!E:E, KONTRAKTLAR!A:A, 'yil yakuniga qadar'!C11, KONTRAKTLAR!E:E, "&gt;0")</f>
        <v>244814000</v>
      </c>
      <c r="G11" s="120">
        <f t="shared" si="1"/>
        <v>-23814000</v>
      </c>
    </row>
    <row r="12" spans="1:7" x14ac:dyDescent="0.25">
      <c r="A12" s="117">
        <v>11</v>
      </c>
      <c r="B12" s="117">
        <v>1</v>
      </c>
      <c r="C12" s="118" t="str">
        <f>KONTRAKTLAR!D11</f>
        <v>25-20</v>
      </c>
      <c r="D12" s="117">
        <f>KONTRAKTLAR!E11</f>
        <v>25</v>
      </c>
      <c r="E12" s="119">
        <f t="shared" si="0"/>
        <v>212500000</v>
      </c>
      <c r="F12" s="119">
        <f>SUMIFS(KONTRAKTLAR!E:E, KONTRAKTLAR!A:A, 'yil yakuniga qadar'!C12, KONTRAKTLAR!E:E, "&gt;0")</f>
        <v>240748250</v>
      </c>
      <c r="G12" s="120">
        <f t="shared" si="1"/>
        <v>-28248250</v>
      </c>
    </row>
    <row r="13" spans="1:7" x14ac:dyDescent="0.25">
      <c r="A13" s="117">
        <v>12</v>
      </c>
      <c r="B13" s="117">
        <v>1</v>
      </c>
      <c r="C13" s="118" t="str">
        <f>KONTRAKTLAR!D12</f>
        <v>25-21</v>
      </c>
      <c r="D13" s="117">
        <f>KONTRAKTLAR!E12</f>
        <v>30</v>
      </c>
      <c r="E13" s="119">
        <f t="shared" si="0"/>
        <v>255000000</v>
      </c>
      <c r="F13" s="119">
        <f>SUMIFS(KONTRAKTLAR!E:E, KONTRAKTLAR!A:A, 'yil yakuniga qadar'!C13, KONTRAKTLAR!E:E, "&gt;0")</f>
        <v>264879000</v>
      </c>
      <c r="G13" s="120">
        <f t="shared" si="1"/>
        <v>-9879000</v>
      </c>
    </row>
    <row r="14" spans="1:7" x14ac:dyDescent="0.25">
      <c r="A14" s="117">
        <v>13</v>
      </c>
      <c r="B14" s="117">
        <v>1</v>
      </c>
      <c r="C14" s="118" t="str">
        <f>KONTRAKTLAR!D13</f>
        <v>25-22</v>
      </c>
      <c r="D14" s="117">
        <f>KONTRAKTLAR!E13</f>
        <v>28</v>
      </c>
      <c r="E14" s="119">
        <f>IF(B14=1,8500000,IF(B14=2,17000000,""))*D14-3*1500000</f>
        <v>233500000</v>
      </c>
      <c r="F14" s="119">
        <f>SUMIFS(KONTRAKTLAR!E:E, KONTRAKTLAR!A:A, 'yil yakuniga qadar'!C14, KONTRAKTLAR!E:E, "&gt;0")</f>
        <v>260448000</v>
      </c>
      <c r="G14" s="120">
        <f t="shared" si="1"/>
        <v>-26948000</v>
      </c>
    </row>
    <row r="15" spans="1:7" x14ac:dyDescent="0.25">
      <c r="A15" s="117">
        <v>14</v>
      </c>
      <c r="B15" s="117">
        <v>1</v>
      </c>
      <c r="C15" s="118" t="str">
        <f>KONTRAKTLAR!D14</f>
        <v>25-23</v>
      </c>
      <c r="D15" s="117">
        <f>KONTRAKTLAR!E14</f>
        <v>23</v>
      </c>
      <c r="E15" s="119">
        <f>IF(B15=1,8500000,IF(B15=2,17000000,""))*D15</f>
        <v>195500000</v>
      </c>
      <c r="F15" s="119">
        <f>SUMIFS(KONTRAKTLAR!E:E, KONTRAKTLAR!A:A, 'yil yakuniga qadar'!C15, KONTRAKTLAR!E:E, "&gt;0")</f>
        <v>201737000</v>
      </c>
      <c r="G15" s="120">
        <f t="shared" si="1"/>
        <v>-6237000</v>
      </c>
    </row>
    <row r="16" spans="1:7" x14ac:dyDescent="0.25">
      <c r="A16" s="139" t="s">
        <v>365</v>
      </c>
      <c r="B16" s="140"/>
      <c r="C16" s="138"/>
      <c r="D16" s="117" t="e">
        <f>SUM(D2:D15)</f>
        <v>#REF!</v>
      </c>
      <c r="E16" s="119" t="e">
        <f>SUM(E2:E15)</f>
        <v>#REF!</v>
      </c>
      <c r="F16" s="119">
        <f>SUM(F2:F15)</f>
        <v>3746185783.4700003</v>
      </c>
      <c r="G16" s="119">
        <f>SUM(G2:G15)</f>
        <v>-44685783.470000029</v>
      </c>
    </row>
    <row r="17" spans="1:7" x14ac:dyDescent="0.25">
      <c r="A17" s="113"/>
      <c r="B17" s="113"/>
      <c r="C17" s="113"/>
      <c r="D17" s="113"/>
      <c r="E17" s="114"/>
      <c r="F17" s="114"/>
      <c r="G17" s="113"/>
    </row>
    <row r="18" spans="1:7" x14ac:dyDescent="0.25">
      <c r="A18" s="113"/>
      <c r="B18" s="113"/>
      <c r="C18" s="113"/>
      <c r="D18" s="113"/>
      <c r="E18" s="114"/>
      <c r="F18" s="114"/>
      <c r="G18" s="113"/>
    </row>
  </sheetData>
  <mergeCells count="1">
    <mergeCell ref="A16:C16"/>
  </mergeCells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8"/>
  <sheetViews>
    <sheetView view="pageBreakPreview" topLeftCell="A45" zoomScale="130" zoomScaleNormal="100" zoomScaleSheetLayoutView="130" workbookViewId="0">
      <selection activeCell="A52" sqref="A52:F53"/>
    </sheetView>
  </sheetViews>
  <sheetFormatPr defaultColWidth="8.85546875" defaultRowHeight="18.75" x14ac:dyDescent="0.3"/>
  <cols>
    <col min="1" max="1" width="8.140625" style="51" bestFit="1" customWidth="1"/>
    <col min="2" max="2" width="5.42578125" style="24" customWidth="1"/>
    <col min="3" max="3" width="42.85546875" style="28" bestFit="1" customWidth="1"/>
    <col min="4" max="4" width="19.5703125" style="52" bestFit="1" customWidth="1"/>
    <col min="5" max="5" width="17.85546875" style="34" customWidth="1"/>
    <col min="6" max="6" width="14.85546875" style="27" customWidth="1"/>
    <col min="7" max="7" width="15.5703125" style="27" customWidth="1"/>
    <col min="8" max="8" width="16.140625" style="28" customWidth="1"/>
    <col min="9" max="9" width="52.85546875" style="28" customWidth="1"/>
    <col min="10" max="27" width="8.85546875" style="28" customWidth="1"/>
    <col min="28" max="16384" width="8.85546875" style="28"/>
  </cols>
  <sheetData>
    <row r="1" spans="1:8" ht="19.5" customHeight="1" x14ac:dyDescent="0.3">
      <c r="A1" s="141" t="s">
        <v>366</v>
      </c>
      <c r="B1" s="142"/>
      <c r="C1" s="142"/>
      <c r="D1" s="142"/>
      <c r="E1" s="142"/>
      <c r="F1" s="143"/>
    </row>
    <row r="2" spans="1:8" ht="19.5" customHeight="1" x14ac:dyDescent="0.3">
      <c r="A2" s="144"/>
      <c r="B2" s="145"/>
      <c r="C2" s="145"/>
      <c r="D2" s="145"/>
      <c r="E2" s="145"/>
      <c r="F2" s="146"/>
      <c r="G2" s="28"/>
    </row>
    <row r="3" spans="1:8" s="33" customFormat="1" ht="88.5" customHeight="1" x14ac:dyDescent="0.25">
      <c r="A3" s="53" t="s">
        <v>31</v>
      </c>
      <c r="B3" s="54" t="s">
        <v>32</v>
      </c>
      <c r="C3" s="54" t="s">
        <v>33</v>
      </c>
      <c r="D3" s="55" t="s">
        <v>34</v>
      </c>
      <c r="E3" s="55" t="s">
        <v>28</v>
      </c>
      <c r="F3" s="55" t="s">
        <v>35</v>
      </c>
      <c r="G3" s="50"/>
    </row>
    <row r="4" spans="1:8" x14ac:dyDescent="0.3">
      <c r="A4" s="56" t="s">
        <v>5</v>
      </c>
      <c r="B4" s="57">
        <f>COUNTIF($A4:A$5,A4)</f>
        <v>2</v>
      </c>
      <c r="C4" s="45" t="s">
        <v>367</v>
      </c>
      <c r="D4" s="58">
        <f>8500000+1700000+1700000</f>
        <v>11900000</v>
      </c>
      <c r="E4" s="58">
        <f>8550000</f>
        <v>8550000</v>
      </c>
      <c r="F4" s="58">
        <f t="shared" ref="F4:F36" si="0">D4-E4</f>
        <v>3350000</v>
      </c>
      <c r="H4" s="34"/>
    </row>
    <row r="5" spans="1:8" x14ac:dyDescent="0.3">
      <c r="A5" s="56" t="s">
        <v>5</v>
      </c>
      <c r="B5" s="59">
        <f>COUNTIF($A$5:A5,A5)</f>
        <v>1</v>
      </c>
      <c r="C5" s="45" t="s">
        <v>368</v>
      </c>
      <c r="D5" s="58">
        <f>8500000+1700000+1700000</f>
        <v>11900000</v>
      </c>
      <c r="E5" s="58">
        <f>8500000</f>
        <v>8500000</v>
      </c>
      <c r="F5" s="58">
        <f t="shared" si="0"/>
        <v>3400000</v>
      </c>
      <c r="H5" s="34"/>
    </row>
    <row r="6" spans="1:8" x14ac:dyDescent="0.3">
      <c r="A6" s="60" t="s">
        <v>11</v>
      </c>
      <c r="B6" s="61">
        <f>COUNTIF($A$6:A6,A6)</f>
        <v>1</v>
      </c>
      <c r="C6" s="62" t="s">
        <v>369</v>
      </c>
      <c r="D6" s="63">
        <v>8500000</v>
      </c>
      <c r="E6" s="63">
        <f>0</f>
        <v>0</v>
      </c>
      <c r="F6" s="58">
        <f t="shared" si="0"/>
        <v>8500000</v>
      </c>
    </row>
    <row r="7" spans="1:8" x14ac:dyDescent="0.3">
      <c r="A7" s="56" t="s">
        <v>7</v>
      </c>
      <c r="B7" s="59">
        <f>COUNTIF($A$7:A7,A7)</f>
        <v>1</v>
      </c>
      <c r="C7" s="45" t="s">
        <v>89</v>
      </c>
      <c r="D7" s="58">
        <f>8500000+1700000+1700000</f>
        <v>11900000</v>
      </c>
      <c r="E7" s="58">
        <f>8500000</f>
        <v>8500000</v>
      </c>
      <c r="F7" s="58">
        <f t="shared" si="0"/>
        <v>3400000</v>
      </c>
    </row>
    <row r="8" spans="1:8" x14ac:dyDescent="0.3">
      <c r="A8" s="64" t="s">
        <v>9</v>
      </c>
      <c r="B8" s="65">
        <f>COUNTIF($A$8:A8,A8)</f>
        <v>1</v>
      </c>
      <c r="C8" s="66" t="s">
        <v>370</v>
      </c>
      <c r="D8" s="67">
        <f>8500000+1700000+1700000</f>
        <v>11900000</v>
      </c>
      <c r="E8" s="67">
        <f>8501000</f>
        <v>8501000</v>
      </c>
      <c r="F8" s="58">
        <f t="shared" si="0"/>
        <v>3399000</v>
      </c>
    </row>
    <row r="9" spans="1:8" x14ac:dyDescent="0.3">
      <c r="A9" s="56" t="s">
        <v>371</v>
      </c>
      <c r="B9" s="59">
        <f>COUNTIF($A$9:A9,A9)</f>
        <v>1</v>
      </c>
      <c r="C9" s="45" t="s">
        <v>372</v>
      </c>
      <c r="D9" s="58">
        <f>8500000+1700000+1700000</f>
        <v>11900000</v>
      </c>
      <c r="E9" s="58">
        <f>8500000</f>
        <v>8500000</v>
      </c>
      <c r="F9" s="58">
        <f t="shared" si="0"/>
        <v>3400000</v>
      </c>
    </row>
    <row r="10" spans="1:8" x14ac:dyDescent="0.3">
      <c r="A10" s="68" t="s">
        <v>15</v>
      </c>
      <c r="B10" s="69">
        <f>COUNTIF($A$10:A10,A10)</f>
        <v>1</v>
      </c>
      <c r="C10" s="45" t="s">
        <v>373</v>
      </c>
      <c r="D10" s="70">
        <f>1275000+1806250</f>
        <v>3081250</v>
      </c>
      <c r="E10" s="70">
        <f>1201000</f>
        <v>1201000</v>
      </c>
      <c r="F10" s="58">
        <f t="shared" si="0"/>
        <v>1880250</v>
      </c>
    </row>
    <row r="11" spans="1:8" x14ac:dyDescent="0.3">
      <c r="A11" s="49" t="s">
        <v>17</v>
      </c>
      <c r="B11" s="25">
        <f>COUNTIF($A$11:A11,A11)</f>
        <v>1</v>
      </c>
      <c r="C11" s="45" t="s">
        <v>374</v>
      </c>
      <c r="D11" s="71">
        <f>1275000+1806250</f>
        <v>3081250</v>
      </c>
      <c r="E11" s="71">
        <f>0+1300000</f>
        <v>1300000</v>
      </c>
      <c r="F11" s="58">
        <f t="shared" si="0"/>
        <v>1781250</v>
      </c>
    </row>
    <row r="12" spans="1:8" x14ac:dyDescent="0.3">
      <c r="A12" s="68" t="s">
        <v>11</v>
      </c>
      <c r="B12" s="69">
        <f>COUNTIF($A$12:A12,A12)</f>
        <v>1</v>
      </c>
      <c r="C12" s="72" t="s">
        <v>375</v>
      </c>
      <c r="D12" s="70">
        <v>8500000</v>
      </c>
      <c r="E12" s="70">
        <f>3138000</f>
        <v>3138000</v>
      </c>
      <c r="F12" s="58">
        <f t="shared" si="0"/>
        <v>5362000</v>
      </c>
    </row>
    <row r="13" spans="1:8" x14ac:dyDescent="0.3">
      <c r="A13" s="49" t="s">
        <v>11</v>
      </c>
      <c r="B13" s="25">
        <f>COUNTIF($A$13:A13,A13)</f>
        <v>1</v>
      </c>
      <c r="C13" s="36" t="s">
        <v>376</v>
      </c>
      <c r="D13" s="71">
        <v>8500000</v>
      </c>
      <c r="E13" s="71">
        <f>4000000</f>
        <v>4000000</v>
      </c>
      <c r="F13" s="58">
        <f t="shared" si="0"/>
        <v>4500000</v>
      </c>
    </row>
    <row r="14" spans="1:8" x14ac:dyDescent="0.3">
      <c r="A14" s="68" t="s">
        <v>19</v>
      </c>
      <c r="B14" s="69">
        <f>COUNTIF($A$14:A14,A14)</f>
        <v>1</v>
      </c>
      <c r="C14" s="45" t="s">
        <v>377</v>
      </c>
      <c r="D14" s="70">
        <f>1275000+1806250</f>
        <v>3081250</v>
      </c>
      <c r="E14" s="70">
        <f>1000000+300000</f>
        <v>1300000</v>
      </c>
      <c r="F14" s="58">
        <f t="shared" si="0"/>
        <v>1781250</v>
      </c>
    </row>
    <row r="15" spans="1:8" x14ac:dyDescent="0.3">
      <c r="A15" s="49" t="s">
        <v>9</v>
      </c>
      <c r="B15" s="25">
        <f>COUNTIF($A$15:A15,A15)</f>
        <v>1</v>
      </c>
      <c r="C15" s="36" t="s">
        <v>378</v>
      </c>
      <c r="D15" s="71">
        <f>8500000+1700000+1700000</f>
        <v>11900000</v>
      </c>
      <c r="E15" s="71">
        <f>1275000</f>
        <v>1275000</v>
      </c>
      <c r="F15" s="58">
        <f t="shared" si="0"/>
        <v>10625000</v>
      </c>
    </row>
    <row r="16" spans="1:8" x14ac:dyDescent="0.3">
      <c r="A16" s="68" t="s">
        <v>23</v>
      </c>
      <c r="B16" s="69">
        <f>COUNTIF($A$16:A16,A16)</f>
        <v>1</v>
      </c>
      <c r="C16" s="72" t="s">
        <v>379</v>
      </c>
      <c r="D16" s="70">
        <f>1275000+1806250</f>
        <v>3081250</v>
      </c>
      <c r="E16" s="70">
        <f>1275000</f>
        <v>1275000</v>
      </c>
      <c r="F16" s="58">
        <f t="shared" si="0"/>
        <v>1806250</v>
      </c>
    </row>
    <row r="17" spans="1:8" x14ac:dyDescent="0.3">
      <c r="A17" s="49" t="s">
        <v>9</v>
      </c>
      <c r="B17" s="25">
        <f>COUNTIF($A$17:A17,A17)</f>
        <v>1</v>
      </c>
      <c r="C17" s="36" t="s">
        <v>380</v>
      </c>
      <c r="D17" s="71">
        <f>8500000+1700000+1700000</f>
        <v>11900000</v>
      </c>
      <c r="E17" s="71">
        <f>8500000</f>
        <v>8500000</v>
      </c>
      <c r="F17" s="58">
        <f t="shared" si="0"/>
        <v>3400000</v>
      </c>
    </row>
    <row r="18" spans="1:8" x14ac:dyDescent="0.3">
      <c r="A18" s="73" t="s">
        <v>15</v>
      </c>
      <c r="B18" s="69">
        <f>COUNTIF($A$18:A18,A18)</f>
        <v>1</v>
      </c>
      <c r="C18" s="72" t="s">
        <v>381</v>
      </c>
      <c r="D18" s="74">
        <f t="shared" ref="D18:D24" si="1">1275000+1806250+1806250</f>
        <v>4887500</v>
      </c>
      <c r="E18" s="74">
        <f>1275000</f>
        <v>1275000</v>
      </c>
      <c r="F18" s="58">
        <f t="shared" si="0"/>
        <v>3612500</v>
      </c>
    </row>
    <row r="19" spans="1:8" x14ac:dyDescent="0.3">
      <c r="A19" s="35" t="s">
        <v>17</v>
      </c>
      <c r="B19" s="25">
        <f>COUNTIF($A$19:A19,A19)</f>
        <v>1</v>
      </c>
      <c r="C19" s="36" t="s">
        <v>382</v>
      </c>
      <c r="D19" s="37">
        <f t="shared" si="1"/>
        <v>4887500</v>
      </c>
      <c r="E19" s="37">
        <f>0+1500000</f>
        <v>1500000</v>
      </c>
      <c r="F19" s="58">
        <f t="shared" si="0"/>
        <v>3387500</v>
      </c>
    </row>
    <row r="20" spans="1:8" x14ac:dyDescent="0.3">
      <c r="A20" s="73" t="s">
        <v>21</v>
      </c>
      <c r="B20" s="69">
        <f>COUNTIF($A$20:A20,A20)</f>
        <v>1</v>
      </c>
      <c r="C20" s="45" t="s">
        <v>383</v>
      </c>
      <c r="D20" s="74">
        <f t="shared" si="1"/>
        <v>4887500</v>
      </c>
      <c r="E20" s="74">
        <f>1300000+1900000</f>
        <v>3200000</v>
      </c>
      <c r="F20" s="58">
        <f t="shared" si="0"/>
        <v>1687500</v>
      </c>
    </row>
    <row r="21" spans="1:8" x14ac:dyDescent="0.3">
      <c r="A21" s="35" t="s">
        <v>21</v>
      </c>
      <c r="B21" s="25">
        <f>COUNTIF($A$20:A21,A21)</f>
        <v>2</v>
      </c>
      <c r="C21" s="45" t="s">
        <v>384</v>
      </c>
      <c r="D21" s="37">
        <f t="shared" si="1"/>
        <v>4887500</v>
      </c>
      <c r="E21" s="37">
        <f>1275000+1810000</f>
        <v>3085000</v>
      </c>
      <c r="F21" s="58">
        <f t="shared" si="0"/>
        <v>1802500</v>
      </c>
    </row>
    <row r="22" spans="1:8" x14ac:dyDescent="0.3">
      <c r="A22" s="73" t="s">
        <v>21</v>
      </c>
      <c r="B22" s="69">
        <f>COUNTIF($A$20:A22,A22)</f>
        <v>3</v>
      </c>
      <c r="C22" s="45" t="s">
        <v>385</v>
      </c>
      <c r="D22" s="74">
        <f t="shared" si="1"/>
        <v>4887500</v>
      </c>
      <c r="E22" s="74">
        <f>1275000+1806250</f>
        <v>3081250</v>
      </c>
      <c r="F22" s="58">
        <f t="shared" si="0"/>
        <v>1806250</v>
      </c>
    </row>
    <row r="23" spans="1:8" x14ac:dyDescent="0.3">
      <c r="A23" s="35" t="s">
        <v>23</v>
      </c>
      <c r="B23" s="25">
        <f>COUNTIF($A$23:A23,A23)</f>
        <v>1</v>
      </c>
      <c r="C23" s="36" t="s">
        <v>386</v>
      </c>
      <c r="D23" s="37">
        <f t="shared" si="1"/>
        <v>4887500</v>
      </c>
      <c r="E23" s="37">
        <f>1000000</f>
        <v>1000000</v>
      </c>
      <c r="F23" s="58">
        <f t="shared" si="0"/>
        <v>3887500</v>
      </c>
    </row>
    <row r="24" spans="1:8" x14ac:dyDescent="0.3">
      <c r="A24" s="35" t="s">
        <v>24</v>
      </c>
      <c r="B24" s="25">
        <f>COUNTIF($A$24:A24,A24)</f>
        <v>1</v>
      </c>
      <c r="C24" s="36" t="s">
        <v>387</v>
      </c>
      <c r="D24" s="37">
        <f t="shared" si="1"/>
        <v>4887500</v>
      </c>
      <c r="E24" s="37">
        <f>1275000+1810000</f>
        <v>3085000</v>
      </c>
      <c r="F24" s="58">
        <f t="shared" si="0"/>
        <v>1802500</v>
      </c>
    </row>
    <row r="25" spans="1:8" x14ac:dyDescent="0.3">
      <c r="A25" s="43" t="s">
        <v>13</v>
      </c>
      <c r="B25" s="75">
        <f>COUNTIF($A$25:A25,A25)</f>
        <v>1</v>
      </c>
      <c r="C25" s="45" t="s">
        <v>45</v>
      </c>
      <c r="D25" s="46">
        <f>4250000+2125000</f>
        <v>6375000</v>
      </c>
      <c r="E25" s="46">
        <f>4250000+2125000</f>
        <v>6375000</v>
      </c>
      <c r="F25" s="58">
        <f t="shared" si="0"/>
        <v>0</v>
      </c>
      <c r="H25" s="34"/>
    </row>
    <row r="26" spans="1:8" x14ac:dyDescent="0.3">
      <c r="A26" s="43" t="s">
        <v>7</v>
      </c>
      <c r="B26" s="75">
        <f>COUNTIF($A$26:A26,A26)</f>
        <v>1</v>
      </c>
      <c r="C26" s="45" t="s">
        <v>388</v>
      </c>
      <c r="D26" s="46">
        <f>8500000+1700000+1700000+1700000</f>
        <v>13600000</v>
      </c>
      <c r="E26" s="46">
        <f>8480000+4000000+1200000</f>
        <v>13680000</v>
      </c>
      <c r="F26" s="58">
        <f t="shared" si="0"/>
        <v>-80000</v>
      </c>
    </row>
    <row r="27" spans="1:8" x14ac:dyDescent="0.3">
      <c r="A27" s="43" t="s">
        <v>7</v>
      </c>
      <c r="B27" s="75">
        <f>COUNTIF($A$27:A27,A27)</f>
        <v>1</v>
      </c>
      <c r="C27" s="45" t="s">
        <v>389</v>
      </c>
      <c r="D27" s="46">
        <f>8500000+1700000+1700000+1700000</f>
        <v>13600000</v>
      </c>
      <c r="E27" s="46">
        <f>8500000+1600000+2400000+900000</f>
        <v>13400000</v>
      </c>
      <c r="F27" s="58">
        <f t="shared" si="0"/>
        <v>200000</v>
      </c>
    </row>
    <row r="28" spans="1:8" s="39" customFormat="1" x14ac:dyDescent="0.3">
      <c r="A28" s="43" t="s">
        <v>23</v>
      </c>
      <c r="B28" s="44">
        <f>COUNTIF($A$28:A28,A28)</f>
        <v>1</v>
      </c>
      <c r="C28" s="45" t="s">
        <v>390</v>
      </c>
      <c r="D28" s="46">
        <f>1275000+1806250+1806250+1806250</f>
        <v>6693750</v>
      </c>
      <c r="E28" s="46">
        <f>1300000+1810000+1200000</f>
        <v>4310000</v>
      </c>
      <c r="F28" s="58">
        <f t="shared" si="0"/>
        <v>2383750</v>
      </c>
      <c r="G28" s="95"/>
    </row>
    <row r="29" spans="1:8" s="101" customFormat="1" x14ac:dyDescent="0.3">
      <c r="A29" s="96" t="s">
        <v>23</v>
      </c>
      <c r="B29" s="97">
        <f>COUNTIF($A$29:A29,A29)</f>
        <v>1</v>
      </c>
      <c r="C29" s="66" t="s">
        <v>391</v>
      </c>
      <c r="D29" s="98">
        <f>1275000+1806250+1806250+1806250</f>
        <v>6693750</v>
      </c>
      <c r="E29" s="98">
        <f>3000000</f>
        <v>3000000</v>
      </c>
      <c r="F29" s="58">
        <f t="shared" si="0"/>
        <v>3693750</v>
      </c>
      <c r="G29" s="99"/>
      <c r="H29" s="100"/>
    </row>
    <row r="30" spans="1:8" x14ac:dyDescent="0.3">
      <c r="A30" s="43" t="s">
        <v>371</v>
      </c>
      <c r="B30" s="44">
        <f>COUNTIF($A$30:A30,A30)</f>
        <v>1</v>
      </c>
      <c r="C30" s="45" t="s">
        <v>392</v>
      </c>
      <c r="D30" s="46">
        <f>8500000+1700000+1700000+1700000+1700000</f>
        <v>15300000</v>
      </c>
      <c r="E30" s="46">
        <f>8500000+2200000+2000000+1100000+1200000</f>
        <v>15000000</v>
      </c>
      <c r="F30" s="58">
        <f t="shared" si="0"/>
        <v>300000</v>
      </c>
    </row>
    <row r="31" spans="1:8" s="39" customFormat="1" x14ac:dyDescent="0.3">
      <c r="A31" s="105" t="s">
        <v>25</v>
      </c>
      <c r="B31" s="44">
        <f>COUNTIF($A$31:A31,A31)</f>
        <v>1</v>
      </c>
      <c r="C31" s="106" t="s">
        <v>393</v>
      </c>
      <c r="D31" s="46">
        <f>1275000+1806250+1806250+1806250</f>
        <v>6693750</v>
      </c>
      <c r="E31" s="46">
        <v>8500000</v>
      </c>
      <c r="F31" s="58">
        <f t="shared" si="0"/>
        <v>-1806250</v>
      </c>
      <c r="G31" s="27"/>
    </row>
    <row r="32" spans="1:8" x14ac:dyDescent="0.3">
      <c r="A32" s="35" t="s">
        <v>371</v>
      </c>
      <c r="B32" s="108">
        <f>COUNTIF($A$32:A32,A32)</f>
        <v>1</v>
      </c>
      <c r="C32" s="36" t="s">
        <v>394</v>
      </c>
      <c r="D32" s="37">
        <f>8500000+1700000+1700000+1700000+1700000</f>
        <v>15300000</v>
      </c>
      <c r="E32" s="37">
        <f>5700000+2000000+3600000</f>
        <v>11300000</v>
      </c>
      <c r="F32" s="58">
        <f t="shared" si="0"/>
        <v>4000000</v>
      </c>
    </row>
    <row r="33" spans="1:8" x14ac:dyDescent="0.3">
      <c r="A33" s="35" t="s">
        <v>19</v>
      </c>
      <c r="B33" s="108">
        <f>COUNTIF($A$33:A33,A33)</f>
        <v>1</v>
      </c>
      <c r="C33" s="36" t="s">
        <v>395</v>
      </c>
      <c r="D33" s="37">
        <f>1275000+1806250+1806250+1806250</f>
        <v>6693750</v>
      </c>
      <c r="E33" s="37">
        <f>0+1270000+1806000+181200</f>
        <v>3257200</v>
      </c>
      <c r="F33" s="58">
        <f t="shared" si="0"/>
        <v>3436550</v>
      </c>
    </row>
    <row r="34" spans="1:8" s="39" customFormat="1" x14ac:dyDescent="0.3">
      <c r="A34" s="35" t="s">
        <v>27</v>
      </c>
      <c r="B34" s="108">
        <f>COUNTIF($A$34:A34,A34)</f>
        <v>1</v>
      </c>
      <c r="C34" s="36" t="s">
        <v>396</v>
      </c>
      <c r="D34" s="110">
        <f>1275000+1806250+1806250</f>
        <v>4887500</v>
      </c>
      <c r="E34" s="37">
        <f>2000000</f>
        <v>2000000</v>
      </c>
      <c r="F34" s="58">
        <f t="shared" si="0"/>
        <v>2887500</v>
      </c>
      <c r="G34" s="27"/>
      <c r="H34" s="28"/>
    </row>
    <row r="35" spans="1:8" s="39" customFormat="1" x14ac:dyDescent="0.3">
      <c r="A35" s="43" t="s">
        <v>21</v>
      </c>
      <c r="B35" s="75">
        <f>COUNTIF($A$35:A35,A35)</f>
        <v>1</v>
      </c>
      <c r="C35" s="45" t="s">
        <v>397</v>
      </c>
      <c r="D35" s="112">
        <f>1275000+1806250+1806250+1806250+1806250</f>
        <v>8500000</v>
      </c>
      <c r="E35" s="46">
        <f>1280000+1807000+1850000</f>
        <v>4937000</v>
      </c>
      <c r="F35" s="58">
        <f t="shared" si="0"/>
        <v>3563000</v>
      </c>
      <c r="G35" s="27"/>
      <c r="H35" s="28"/>
    </row>
    <row r="36" spans="1:8" x14ac:dyDescent="0.3">
      <c r="A36" s="43" t="s">
        <v>21</v>
      </c>
      <c r="B36" s="75">
        <f>COUNTIF($A$36:A36,A36)</f>
        <v>1</v>
      </c>
      <c r="C36" s="45" t="s">
        <v>398</v>
      </c>
      <c r="D36" s="46">
        <f>1275000+1806250+1806250+1806250+1806250</f>
        <v>8500000</v>
      </c>
      <c r="E36" s="46">
        <f>2125000+2000000+800000</f>
        <v>4925000</v>
      </c>
      <c r="F36" s="58">
        <f t="shared" si="0"/>
        <v>3575000</v>
      </c>
    </row>
    <row r="37" spans="1:8" x14ac:dyDescent="0.3">
      <c r="A37" s="35" t="s">
        <v>9</v>
      </c>
      <c r="B37" s="108">
        <f>COUNTIF($A$37:A37,A37)</f>
        <v>1</v>
      </c>
      <c r="C37" s="36" t="s">
        <v>399</v>
      </c>
      <c r="D37" s="37">
        <f>8500000+1700000+1700000+1700000+1700000+1700000</f>
        <v>17000000</v>
      </c>
      <c r="E37" s="37">
        <f>11900000+1700000+2000000</f>
        <v>15600000</v>
      </c>
      <c r="F37" s="37">
        <f>Таблица1[[#This Row],[Shu vaqtgacha bo''lishi kerak bo''lgan to''lov]]-Таблица1[[#This Row],[Jami]]</f>
        <v>2200000</v>
      </c>
    </row>
    <row r="38" spans="1:8" s="39" customFormat="1" x14ac:dyDescent="0.3">
      <c r="A38" s="35" t="s">
        <v>27</v>
      </c>
      <c r="B38" s="108">
        <f>COUNTIF($A$38:A38,A38)</f>
        <v>1</v>
      </c>
      <c r="C38" s="36" t="s">
        <v>400</v>
      </c>
      <c r="D38" s="37">
        <v>8500000</v>
      </c>
      <c r="E38" s="37">
        <f>1275000+1900000</f>
        <v>3175000</v>
      </c>
      <c r="F38" s="37">
        <f>Таблица1[[#This Row],[Shu vaqtgacha bo''lishi kerak bo''lgan to''lov]]-Таблица1[[#This Row],[Jami]]</f>
        <v>2023000</v>
      </c>
      <c r="G38" s="27"/>
      <c r="H38" s="28"/>
    </row>
    <row r="39" spans="1:8" s="39" customFormat="1" x14ac:dyDescent="0.3">
      <c r="A39" s="35" t="s">
        <v>15</v>
      </c>
      <c r="B39" s="108">
        <v>1</v>
      </c>
      <c r="C39" s="36" t="s">
        <v>401</v>
      </c>
      <c r="D39" s="37">
        <v>8500000</v>
      </c>
      <c r="E39" s="37">
        <v>4000000</v>
      </c>
      <c r="F39" s="37">
        <v>4500000</v>
      </c>
      <c r="G39" s="27"/>
      <c r="H39" s="28"/>
    </row>
    <row r="40" spans="1:8" s="39" customFormat="1" x14ac:dyDescent="0.3">
      <c r="A40" s="35" t="s">
        <v>15</v>
      </c>
      <c r="B40" s="108">
        <v>2</v>
      </c>
      <c r="C40" s="36" t="s">
        <v>402</v>
      </c>
      <c r="D40" s="37">
        <v>8500000</v>
      </c>
      <c r="E40" s="37">
        <v>4100000</v>
      </c>
      <c r="F40" s="37">
        <v>4400000</v>
      </c>
      <c r="G40" s="27"/>
      <c r="H40" s="28"/>
    </row>
    <row r="41" spans="1:8" s="39" customFormat="1" x14ac:dyDescent="0.3">
      <c r="A41" s="35" t="s">
        <v>15</v>
      </c>
      <c r="B41" s="108">
        <v>3</v>
      </c>
      <c r="C41" s="36" t="s">
        <v>403</v>
      </c>
      <c r="D41" s="37">
        <v>8500000</v>
      </c>
      <c r="E41" s="37">
        <v>4475000</v>
      </c>
      <c r="F41" s="37">
        <v>4025000</v>
      </c>
      <c r="G41" s="27"/>
      <c r="H41" s="28"/>
    </row>
    <row r="42" spans="1:8" s="39" customFormat="1" x14ac:dyDescent="0.3">
      <c r="A42" s="35" t="s">
        <v>23</v>
      </c>
      <c r="B42" s="108">
        <f>COUNTIF($A$42:A42,A42)</f>
        <v>1</v>
      </c>
      <c r="C42" s="36" t="s">
        <v>404</v>
      </c>
      <c r="D42" s="37">
        <f>1275000+1806250+1806250+1806250+1806250</f>
        <v>8500000</v>
      </c>
      <c r="E42" s="37">
        <f>0+2500000+1500000+1700000+1000000</f>
        <v>6700000</v>
      </c>
      <c r="F42" s="37">
        <f>Таблица1[[#This Row],[Shu vaqtgacha bo''lishi kerak bo''lgan to''lov]]-Таблица1[[#This Row],[Jami]]</f>
        <v>750000</v>
      </c>
      <c r="G42" s="27"/>
      <c r="H42" s="28"/>
    </row>
    <row r="43" spans="1:8" s="39" customFormat="1" x14ac:dyDescent="0.3">
      <c r="A43" s="35" t="s">
        <v>27</v>
      </c>
      <c r="B43" s="108">
        <f>COUNTIF($A$43:A43,A43)</f>
        <v>1</v>
      </c>
      <c r="C43" s="36" t="s">
        <v>405</v>
      </c>
      <c r="D43" s="37">
        <v>8500000</v>
      </c>
      <c r="E43" s="37">
        <f>2500000+600000</f>
        <v>3100000</v>
      </c>
      <c r="F43" s="37">
        <f t="shared" ref="F43:F51" si="2">D43-E43</f>
        <v>5400000</v>
      </c>
      <c r="G43" s="27"/>
      <c r="H43" s="28"/>
    </row>
    <row r="44" spans="1:8" x14ac:dyDescent="0.3">
      <c r="A44" s="35" t="s">
        <v>17</v>
      </c>
      <c r="B44" s="108">
        <f>COUNTIF($A$44:A44,A44)</f>
        <v>1</v>
      </c>
      <c r="C44" s="45" t="s">
        <v>406</v>
      </c>
      <c r="D44" s="37">
        <f>1275000+1806250+1806250+1806250+1806250</f>
        <v>8500000</v>
      </c>
      <c r="E44" s="37">
        <f>1275000+1807000+1810000+1500000+2108000</f>
        <v>8500000</v>
      </c>
      <c r="F44" s="37">
        <f t="shared" si="2"/>
        <v>0</v>
      </c>
    </row>
    <row r="45" spans="1:8" x14ac:dyDescent="0.3">
      <c r="A45" s="35" t="s">
        <v>17</v>
      </c>
      <c r="B45" s="108">
        <f>COUNTIF($A$45:A45,A45)</f>
        <v>1</v>
      </c>
      <c r="C45" s="45" t="s">
        <v>407</v>
      </c>
      <c r="D45" s="37">
        <f>1275000+1806250+1806250+1806250+1806250</f>
        <v>8500000</v>
      </c>
      <c r="E45" s="37">
        <f>1275000+1810000+1500000+1800000+2125000</f>
        <v>8510000</v>
      </c>
      <c r="F45" s="37">
        <f t="shared" si="2"/>
        <v>-10000</v>
      </c>
    </row>
    <row r="46" spans="1:8" x14ac:dyDescent="0.3">
      <c r="A46" s="35" t="s">
        <v>21</v>
      </c>
      <c r="B46" s="108">
        <f>COUNTIF($A$46:A46,A46)</f>
        <v>1</v>
      </c>
      <c r="C46" s="36" t="s">
        <v>45</v>
      </c>
      <c r="D46" s="37">
        <f>1275000+1806250+1806250+1806250+1806250</f>
        <v>8500000</v>
      </c>
      <c r="E46" s="37">
        <f>4250000+2125000</f>
        <v>6375000</v>
      </c>
      <c r="F46" s="71">
        <f t="shared" si="2"/>
        <v>2125000</v>
      </c>
    </row>
    <row r="47" spans="1:8" x14ac:dyDescent="0.3">
      <c r="A47" s="35" t="s">
        <v>21</v>
      </c>
      <c r="B47" s="108">
        <f>COUNTIF($A$47:A47,A47)</f>
        <v>1</v>
      </c>
      <c r="C47" s="36" t="s">
        <v>162</v>
      </c>
      <c r="D47" s="37">
        <f>1275000+1806250+1806250+1806250+1806250</f>
        <v>8500000</v>
      </c>
      <c r="E47" s="37">
        <f>2300000+6200000</f>
        <v>8500000</v>
      </c>
      <c r="F47" s="37">
        <f t="shared" si="2"/>
        <v>0</v>
      </c>
    </row>
    <row r="48" spans="1:8" x14ac:dyDescent="0.3">
      <c r="A48" s="35" t="s">
        <v>11</v>
      </c>
      <c r="B48" s="108">
        <f>COUNTIF($A$48:A48,A48)</f>
        <v>1</v>
      </c>
      <c r="C48" s="36" t="s">
        <v>408</v>
      </c>
      <c r="D48" s="37">
        <f>2*8500000*3/4</f>
        <v>12750000</v>
      </c>
      <c r="E48" s="37">
        <v>14000000</v>
      </c>
      <c r="F48" s="37">
        <f t="shared" si="2"/>
        <v>-1250000</v>
      </c>
    </row>
    <row r="49" spans="1:6" x14ac:dyDescent="0.3">
      <c r="A49" s="35" t="s">
        <v>5</v>
      </c>
      <c r="B49" s="108">
        <f>COUNTIF($A$49:A49,A49)</f>
        <v>1</v>
      </c>
      <c r="C49" s="45" t="s">
        <v>409</v>
      </c>
      <c r="D49" s="37">
        <f>8500000+1700000+1700000+1700000+1700000+1700000+1700000</f>
        <v>18700000</v>
      </c>
      <c r="E49" s="37">
        <f>10200000+1700000+1700000+1000000+1274000+1126000</f>
        <v>17000000</v>
      </c>
      <c r="F49" s="37">
        <f t="shared" si="2"/>
        <v>1700000</v>
      </c>
    </row>
    <row r="50" spans="1:6" x14ac:dyDescent="0.3">
      <c r="A50" s="35" t="s">
        <v>24</v>
      </c>
      <c r="B50" s="108">
        <f>COUNTIF($A$49:A50,A50)</f>
        <v>1</v>
      </c>
      <c r="C50" s="45" t="s">
        <v>410</v>
      </c>
      <c r="D50" s="37">
        <f>8500000+1700000</f>
        <v>10200000</v>
      </c>
      <c r="E50" s="37">
        <f>3100000+1800000</f>
        <v>4900000</v>
      </c>
      <c r="F50" s="37">
        <f t="shared" si="2"/>
        <v>5300000</v>
      </c>
    </row>
    <row r="51" spans="1:6" x14ac:dyDescent="0.3">
      <c r="A51" s="35" t="s">
        <v>7</v>
      </c>
      <c r="B51" s="108">
        <f>COUNTIF($A$49:A51,A51)</f>
        <v>1</v>
      </c>
      <c r="C51" s="45" t="s">
        <v>411</v>
      </c>
      <c r="D51" s="37">
        <f>8500000+1700000+1700000+1700000+1700000+1700000+1700000</f>
        <v>18700000</v>
      </c>
      <c r="E51" s="37">
        <f>10500000+2000000+1100000+1700000+1700000</f>
        <v>17000000</v>
      </c>
      <c r="F51" s="37">
        <f t="shared" si="2"/>
        <v>1700000</v>
      </c>
    </row>
    <row r="52" spans="1:6" x14ac:dyDescent="0.3">
      <c r="A52" s="35" t="s">
        <v>27</v>
      </c>
      <c r="B52" s="108">
        <v>1</v>
      </c>
      <c r="C52" s="45" t="s">
        <v>412</v>
      </c>
      <c r="D52" s="37">
        <v>10200000</v>
      </c>
      <c r="E52" s="37">
        <v>8500000</v>
      </c>
      <c r="F52" s="37">
        <v>1700000</v>
      </c>
    </row>
    <row r="53" spans="1:6" x14ac:dyDescent="0.3">
      <c r="A53" s="35" t="s">
        <v>27</v>
      </c>
      <c r="B53" s="108">
        <v>2</v>
      </c>
      <c r="C53" s="45" t="s">
        <v>413</v>
      </c>
      <c r="D53" s="37">
        <v>10200000</v>
      </c>
      <c r="E53" s="37">
        <v>6205000</v>
      </c>
      <c r="F53" s="37">
        <v>3995000</v>
      </c>
    </row>
    <row r="54" spans="1:6" x14ac:dyDescent="0.3">
      <c r="A54" s="35"/>
      <c r="B54" s="108"/>
      <c r="C54" s="36"/>
      <c r="D54" s="37"/>
      <c r="E54" s="37"/>
      <c r="F54" s="37"/>
    </row>
    <row r="55" spans="1:6" x14ac:dyDescent="0.3">
      <c r="A55" s="35"/>
      <c r="B55" s="108"/>
      <c r="C55" s="36"/>
      <c r="D55" s="37"/>
      <c r="E55" s="37"/>
      <c r="F55" s="37"/>
    </row>
    <row r="56" spans="1:6" x14ac:dyDescent="0.3">
      <c r="A56" s="35"/>
      <c r="B56" s="108"/>
      <c r="C56" s="36"/>
      <c r="D56" s="37"/>
      <c r="E56" s="37"/>
      <c r="F56" s="37"/>
    </row>
    <row r="57" spans="1:6" x14ac:dyDescent="0.3">
      <c r="A57" s="49"/>
      <c r="B57" s="25">
        <f>COUNTIF($A$5:A57,A57)</f>
        <v>0</v>
      </c>
      <c r="C57" s="36"/>
      <c r="D57" s="71"/>
      <c r="E57" s="71"/>
      <c r="F57" s="71">
        <f>D57-E57</f>
        <v>0</v>
      </c>
    </row>
    <row r="58" spans="1:6" x14ac:dyDescent="0.3">
      <c r="A58" s="35"/>
      <c r="B58" s="47"/>
      <c r="C58" s="76" t="s">
        <v>358</v>
      </c>
      <c r="D58" s="77">
        <f>SUBTOTAL(109,Akademik.TSCH!$D$4:$D$57)</f>
        <v>450925000</v>
      </c>
      <c r="E58" s="77">
        <f>SUBTOTAL(109,Akademik.TSCH!$E$4:$E$57)</f>
        <v>312090450</v>
      </c>
      <c r="F58" s="58">
        <f>D58-E58</f>
        <v>138834550</v>
      </c>
    </row>
  </sheetData>
  <mergeCells count="1">
    <mergeCell ref="A1:F2"/>
  </mergeCells>
  <conditionalFormatting sqref="A3:C3">
    <cfRule type="duplicateValues" dxfId="494" priority="310"/>
    <cfRule type="duplicateValues" dxfId="493" priority="309"/>
    <cfRule type="duplicateValues" dxfId="492" priority="308"/>
  </conditionalFormatting>
  <conditionalFormatting sqref="C3:C4 C59:C1048576">
    <cfRule type="duplicateValues" dxfId="491" priority="305"/>
    <cfRule type="duplicateValues" dxfId="490" priority="307"/>
    <cfRule type="duplicateValues" dxfId="489" priority="306"/>
  </conditionalFormatting>
  <conditionalFormatting sqref="C4">
    <cfRule type="duplicateValues" dxfId="488" priority="5235"/>
  </conditionalFormatting>
  <conditionalFormatting sqref="C5">
    <cfRule type="duplicateValues" dxfId="487" priority="234"/>
    <cfRule type="duplicateValues" dxfId="486" priority="233"/>
    <cfRule type="duplicateValues" dxfId="485" priority="232"/>
    <cfRule type="duplicateValues" dxfId="484" priority="231"/>
  </conditionalFormatting>
  <conditionalFormatting sqref="C6">
    <cfRule type="duplicateValues" dxfId="483" priority="226"/>
    <cfRule type="duplicateValues" dxfId="482" priority="229"/>
    <cfRule type="duplicateValues" dxfId="481" priority="228"/>
    <cfRule type="duplicateValues" dxfId="480" priority="227"/>
  </conditionalFormatting>
  <conditionalFormatting sqref="C7">
    <cfRule type="duplicateValues" dxfId="479" priority="224"/>
    <cfRule type="duplicateValues" dxfId="478" priority="223"/>
    <cfRule type="duplicateValues" dxfId="477" priority="222"/>
    <cfRule type="duplicateValues" dxfId="476" priority="221"/>
  </conditionalFormatting>
  <conditionalFormatting sqref="C8">
    <cfRule type="duplicateValues" dxfId="475" priority="219"/>
    <cfRule type="duplicateValues" dxfId="474" priority="218"/>
    <cfRule type="duplicateValues" dxfId="473" priority="217"/>
    <cfRule type="duplicateValues" dxfId="472" priority="216"/>
  </conditionalFormatting>
  <conditionalFormatting sqref="C9">
    <cfRule type="duplicateValues" dxfId="471" priority="214"/>
    <cfRule type="duplicateValues" dxfId="470" priority="213"/>
    <cfRule type="duplicateValues" dxfId="469" priority="212"/>
    <cfRule type="duplicateValues" dxfId="468" priority="211"/>
  </conditionalFormatting>
  <conditionalFormatting sqref="C10">
    <cfRule type="duplicateValues" dxfId="467" priority="209"/>
    <cfRule type="duplicateValues" dxfId="466" priority="208"/>
    <cfRule type="duplicateValues" dxfId="465" priority="207"/>
    <cfRule type="duplicateValues" dxfId="464" priority="206"/>
  </conditionalFormatting>
  <conditionalFormatting sqref="C11">
    <cfRule type="duplicateValues" dxfId="463" priority="201"/>
    <cfRule type="duplicateValues" dxfId="462" priority="204"/>
    <cfRule type="duplicateValues" dxfId="461" priority="203"/>
    <cfRule type="duplicateValues" dxfId="460" priority="202"/>
  </conditionalFormatting>
  <conditionalFormatting sqref="C12">
    <cfRule type="duplicateValues" dxfId="459" priority="199"/>
    <cfRule type="duplicateValues" dxfId="458" priority="198"/>
    <cfRule type="duplicateValues" dxfId="457" priority="197"/>
    <cfRule type="duplicateValues" dxfId="456" priority="196"/>
  </conditionalFormatting>
  <conditionalFormatting sqref="C13">
    <cfRule type="duplicateValues" dxfId="455" priority="191"/>
    <cfRule type="duplicateValues" dxfId="454" priority="194"/>
    <cfRule type="duplicateValues" dxfId="453" priority="193"/>
    <cfRule type="duplicateValues" dxfId="452" priority="192"/>
  </conditionalFormatting>
  <conditionalFormatting sqref="C14">
    <cfRule type="duplicateValues" dxfId="451" priority="188"/>
    <cfRule type="duplicateValues" dxfId="450" priority="189"/>
    <cfRule type="duplicateValues" dxfId="449" priority="187"/>
    <cfRule type="duplicateValues" dxfId="448" priority="186"/>
  </conditionalFormatting>
  <conditionalFormatting sqref="C15">
    <cfRule type="duplicateValues" dxfId="447" priority="184"/>
    <cfRule type="duplicateValues" dxfId="446" priority="181"/>
    <cfRule type="duplicateValues" dxfId="445" priority="183"/>
    <cfRule type="duplicateValues" dxfId="444" priority="182"/>
  </conditionalFormatting>
  <conditionalFormatting sqref="C16">
    <cfRule type="duplicateValues" dxfId="443" priority="179"/>
    <cfRule type="duplicateValues" dxfId="442" priority="177"/>
    <cfRule type="duplicateValues" dxfId="441" priority="176"/>
    <cfRule type="duplicateValues" dxfId="440" priority="175"/>
  </conditionalFormatting>
  <conditionalFormatting sqref="C17">
    <cfRule type="duplicateValues" dxfId="439" priority="174"/>
    <cfRule type="duplicateValues" dxfId="438" priority="173"/>
    <cfRule type="duplicateValues" dxfId="437" priority="172"/>
    <cfRule type="duplicateValues" dxfId="436" priority="171"/>
    <cfRule type="duplicateValues" dxfId="435" priority="169"/>
  </conditionalFormatting>
  <conditionalFormatting sqref="C18">
    <cfRule type="duplicateValues" dxfId="434" priority="168"/>
    <cfRule type="duplicateValues" dxfId="433" priority="167"/>
    <cfRule type="duplicateValues" dxfId="432" priority="166"/>
    <cfRule type="duplicateValues" dxfId="431" priority="165"/>
    <cfRule type="duplicateValues" dxfId="430" priority="163"/>
  </conditionalFormatting>
  <conditionalFormatting sqref="C19">
    <cfRule type="duplicateValues" dxfId="429" priority="162"/>
    <cfRule type="duplicateValues" dxfId="428" priority="161"/>
    <cfRule type="duplicateValues" dxfId="427" priority="160"/>
    <cfRule type="duplicateValues" dxfId="426" priority="159"/>
    <cfRule type="duplicateValues" dxfId="425" priority="157"/>
  </conditionalFormatting>
  <conditionalFormatting sqref="C20:C22">
    <cfRule type="duplicateValues" dxfId="424" priority="156"/>
    <cfRule type="duplicateValues" dxfId="423" priority="154"/>
  </conditionalFormatting>
  <conditionalFormatting sqref="C23">
    <cfRule type="duplicateValues" dxfId="422" priority="151"/>
    <cfRule type="duplicateValues" dxfId="421" priority="152"/>
    <cfRule type="duplicateValues" dxfId="420" priority="150"/>
    <cfRule type="duplicateValues" dxfId="419" priority="149"/>
  </conditionalFormatting>
  <conditionalFormatting sqref="C24">
    <cfRule type="duplicateValues" dxfId="418" priority="148"/>
    <cfRule type="duplicateValues" dxfId="417" priority="146"/>
  </conditionalFormatting>
  <conditionalFormatting sqref="C25">
    <cfRule type="duplicateValues" dxfId="416" priority="145"/>
    <cfRule type="duplicateValues" dxfId="415" priority="144"/>
    <cfRule type="duplicateValues" dxfId="414" priority="143"/>
    <cfRule type="duplicateValues" dxfId="413" priority="142"/>
    <cfRule type="duplicateValues" dxfId="412" priority="140"/>
  </conditionalFormatting>
  <conditionalFormatting sqref="C26">
    <cfRule type="duplicateValues" dxfId="411" priority="139"/>
    <cfRule type="duplicateValues" dxfId="410" priority="138"/>
    <cfRule type="duplicateValues" dxfId="409" priority="137"/>
    <cfRule type="duplicateValues" dxfId="408" priority="136"/>
    <cfRule type="duplicateValues" dxfId="407" priority="134"/>
  </conditionalFormatting>
  <conditionalFormatting sqref="C27">
    <cfRule type="duplicateValues" dxfId="406" priority="131"/>
    <cfRule type="duplicateValues" dxfId="405" priority="130"/>
    <cfRule type="duplicateValues" dxfId="404" priority="128"/>
    <cfRule type="duplicateValues" dxfId="403" priority="133"/>
    <cfRule type="duplicateValues" dxfId="402" priority="132"/>
  </conditionalFormatting>
  <conditionalFormatting sqref="C28">
    <cfRule type="duplicateValues" dxfId="401" priority="122"/>
    <cfRule type="duplicateValues" dxfId="400" priority="124"/>
    <cfRule type="duplicateValues" dxfId="399" priority="125"/>
    <cfRule type="duplicateValues" dxfId="398" priority="126"/>
    <cfRule type="duplicateValues" dxfId="397" priority="127"/>
  </conditionalFormatting>
  <conditionalFormatting sqref="C29">
    <cfRule type="duplicateValues" dxfId="396" priority="121"/>
    <cfRule type="duplicateValues" dxfId="395" priority="120"/>
    <cfRule type="duplicateValues" dxfId="394" priority="119"/>
    <cfRule type="duplicateValues" dxfId="393" priority="118"/>
    <cfRule type="duplicateValues" dxfId="392" priority="116"/>
  </conditionalFormatting>
  <conditionalFormatting sqref="C30">
    <cfRule type="duplicateValues" dxfId="391" priority="113"/>
    <cfRule type="duplicateValues" dxfId="390" priority="112"/>
    <cfRule type="duplicateValues" dxfId="389" priority="110"/>
    <cfRule type="duplicateValues" dxfId="388" priority="115"/>
    <cfRule type="duplicateValues" dxfId="387" priority="114"/>
  </conditionalFormatting>
  <conditionalFormatting sqref="C31">
    <cfRule type="duplicateValues" dxfId="386" priority="107"/>
    <cfRule type="duplicateValues" dxfId="385" priority="109"/>
  </conditionalFormatting>
  <conditionalFormatting sqref="C32">
    <cfRule type="duplicateValues" dxfId="384" priority="101"/>
    <cfRule type="duplicateValues" dxfId="383" priority="106"/>
    <cfRule type="duplicateValues" dxfId="382" priority="105"/>
    <cfRule type="duplicateValues" dxfId="381" priority="104"/>
    <cfRule type="duplicateValues" dxfId="380" priority="103"/>
  </conditionalFormatting>
  <conditionalFormatting sqref="C33">
    <cfRule type="duplicateValues" dxfId="379" priority="100"/>
    <cfRule type="duplicateValues" dxfId="378" priority="98"/>
  </conditionalFormatting>
  <conditionalFormatting sqref="C35">
    <cfRule type="duplicateValues" dxfId="377" priority="94"/>
    <cfRule type="duplicateValues" dxfId="376" priority="96"/>
  </conditionalFormatting>
  <conditionalFormatting sqref="C36">
    <cfRule type="duplicateValues" dxfId="375" priority="93"/>
    <cfRule type="duplicateValues" dxfId="374" priority="91"/>
  </conditionalFormatting>
  <conditionalFormatting sqref="C37">
    <cfRule type="duplicateValues" dxfId="373" priority="89"/>
    <cfRule type="duplicateValues" dxfId="372" priority="88"/>
    <cfRule type="duplicateValues" dxfId="371" priority="87"/>
    <cfRule type="duplicateValues" dxfId="370" priority="86"/>
    <cfRule type="duplicateValues" dxfId="369" priority="84"/>
  </conditionalFormatting>
  <conditionalFormatting sqref="C38">
    <cfRule type="duplicateValues" dxfId="368" priority="79"/>
    <cfRule type="duplicateValues" dxfId="367" priority="78"/>
    <cfRule type="duplicateValues" dxfId="366" priority="76"/>
    <cfRule type="duplicateValues" dxfId="365" priority="82"/>
    <cfRule type="duplicateValues" dxfId="364" priority="81"/>
    <cfRule type="duplicateValues" dxfId="363" priority="80"/>
  </conditionalFormatting>
  <conditionalFormatting sqref="C39:C41">
    <cfRule type="duplicateValues" dxfId="362" priority="74"/>
    <cfRule type="duplicateValues" dxfId="361" priority="73"/>
    <cfRule type="duplicateValues" dxfId="360" priority="72"/>
    <cfRule type="duplicateValues" dxfId="359" priority="71"/>
    <cfRule type="duplicateValues" dxfId="358" priority="70"/>
    <cfRule type="duplicateValues" dxfId="357" priority="68"/>
  </conditionalFormatting>
  <conditionalFormatting sqref="C42">
    <cfRule type="duplicateValues" dxfId="356" priority="63"/>
    <cfRule type="duplicateValues" dxfId="355" priority="62"/>
    <cfRule type="duplicateValues" dxfId="354" priority="60"/>
    <cfRule type="duplicateValues" dxfId="353" priority="66"/>
    <cfRule type="duplicateValues" dxfId="352" priority="65"/>
    <cfRule type="duplicateValues" dxfId="351" priority="64"/>
  </conditionalFormatting>
  <conditionalFormatting sqref="C43">
    <cfRule type="duplicateValues" dxfId="350" priority="58"/>
    <cfRule type="duplicateValues" dxfId="349" priority="55"/>
    <cfRule type="duplicateValues" dxfId="348" priority="57"/>
    <cfRule type="duplicateValues" dxfId="347" priority="56"/>
    <cfRule type="duplicateValues" dxfId="346" priority="54"/>
    <cfRule type="duplicateValues" dxfId="345" priority="52"/>
  </conditionalFormatting>
  <conditionalFormatting sqref="C44">
    <cfRule type="duplicateValues" dxfId="344" priority="50"/>
    <cfRule type="duplicateValues" dxfId="343" priority="49"/>
    <cfRule type="duplicateValues" dxfId="342" priority="48"/>
    <cfRule type="duplicateValues" dxfId="341" priority="47"/>
    <cfRule type="duplicateValues" dxfId="340" priority="46"/>
    <cfRule type="duplicateValues" dxfId="339" priority="44"/>
  </conditionalFormatting>
  <conditionalFormatting sqref="C45">
    <cfRule type="duplicateValues" dxfId="338" priority="39"/>
    <cfRule type="duplicateValues" dxfId="337" priority="42"/>
    <cfRule type="duplicateValues" dxfId="336" priority="41"/>
  </conditionalFormatting>
  <conditionalFormatting sqref="C46">
    <cfRule type="duplicateValues" dxfId="335" priority="36"/>
    <cfRule type="duplicateValues" dxfId="334" priority="35"/>
    <cfRule type="duplicateValues" dxfId="333" priority="34"/>
    <cfRule type="duplicateValues" dxfId="332" priority="33"/>
    <cfRule type="duplicateValues" dxfId="331" priority="31"/>
    <cfRule type="duplicateValues" dxfId="330" priority="37"/>
  </conditionalFormatting>
  <conditionalFormatting sqref="C47">
    <cfRule type="duplicateValues" dxfId="329" priority="23"/>
    <cfRule type="duplicateValues" dxfId="328" priority="28"/>
    <cfRule type="duplicateValues" dxfId="327" priority="29"/>
    <cfRule type="duplicateValues" dxfId="326" priority="27"/>
    <cfRule type="duplicateValues" dxfId="325" priority="26"/>
    <cfRule type="duplicateValues" dxfId="324" priority="25"/>
  </conditionalFormatting>
  <conditionalFormatting sqref="C48 C54:C56">
    <cfRule type="duplicateValues" dxfId="323" priority="20"/>
    <cfRule type="duplicateValues" dxfId="322" priority="21"/>
    <cfRule type="duplicateValues" dxfId="321" priority="18"/>
  </conditionalFormatting>
  <conditionalFormatting sqref="C49:C51">
    <cfRule type="duplicateValues" dxfId="320" priority="13"/>
    <cfRule type="duplicateValues" dxfId="319" priority="16"/>
    <cfRule type="duplicateValues" dxfId="318" priority="15"/>
    <cfRule type="duplicateValues" dxfId="317" priority="14"/>
    <cfRule type="duplicateValues" dxfId="316" priority="12"/>
    <cfRule type="duplicateValues" dxfId="315" priority="10"/>
  </conditionalFormatting>
  <conditionalFormatting sqref="C52:C53">
    <cfRule type="duplicateValues" dxfId="314" priority="4"/>
    <cfRule type="duplicateValues" dxfId="313" priority="5"/>
    <cfRule type="duplicateValues" dxfId="312" priority="2"/>
    <cfRule type="duplicateValues" dxfId="311" priority="6"/>
    <cfRule type="duplicateValues" dxfId="310" priority="8"/>
    <cfRule type="duplicateValues" dxfId="309" priority="7"/>
  </conditionalFormatting>
  <conditionalFormatting sqref="F4:F44">
    <cfRule type="cellIs" dxfId="308" priority="45" operator="greaterThan">
      <formula>0</formula>
    </cfRule>
  </conditionalFormatting>
  <conditionalFormatting sqref="F37:F56">
    <cfRule type="cellIs" dxfId="307" priority="1" operator="lessThan">
      <formula>1</formula>
    </cfRule>
  </conditionalFormatting>
  <conditionalFormatting sqref="F46:F47 F57:F58">
    <cfRule type="cellIs" dxfId="306" priority="24" operator="greaterThan">
      <formula>0</formula>
    </cfRule>
  </conditionalFormatting>
  <conditionalFormatting sqref="F49:F51">
    <cfRule type="cellIs" dxfId="305" priority="11" operator="greaterThan">
      <formula>0</formula>
    </cfRule>
  </conditionalFormatting>
  <conditionalFormatting sqref="F45:G45">
    <cfRule type="cellIs" dxfId="304" priority="40" operator="greaterThan">
      <formula>0</formula>
    </cfRule>
  </conditionalFormatting>
  <conditionalFormatting sqref="F48:G48">
    <cfRule type="cellIs" dxfId="303" priority="19" operator="greaterThan">
      <formula>0</formula>
    </cfRule>
  </conditionalFormatting>
  <conditionalFormatting sqref="F52:G56">
    <cfRule type="cellIs" dxfId="302" priority="3" operator="greaterThan">
      <formula>0</formula>
    </cfRule>
  </conditionalFormatting>
  <conditionalFormatting sqref="G6:G14">
    <cfRule type="cellIs" dxfId="301" priority="304" operator="greaterThan">
      <formula>0</formula>
    </cfRule>
  </conditionalFormatting>
  <conditionalFormatting sqref="G20:G24">
    <cfRule type="cellIs" dxfId="300" priority="147" operator="greaterThan">
      <formula>0</formula>
    </cfRule>
  </conditionalFormatting>
  <conditionalFormatting sqref="G31">
    <cfRule type="cellIs" dxfId="299" priority="108" operator="greaterThan">
      <formula>0</formula>
    </cfRule>
  </conditionalFormatting>
  <conditionalFormatting sqref="G33:G36">
    <cfRule type="cellIs" dxfId="298" priority="92" operator="greaterThan">
      <formula>0</formula>
    </cfRule>
  </conditionalFormatting>
  <conditionalFormatting sqref="G38:G43 G57:G1048576">
    <cfRule type="cellIs" dxfId="297" priority="95" operator="greaterThan">
      <formula>0</formula>
    </cfRule>
  </conditionalFormatting>
  <pageMargins left="0.99" right="0.16" top="0.2" bottom="0.2" header="0.2" footer="0.2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="175" zoomScaleNormal="175" workbookViewId="0">
      <selection activeCell="B14" sqref="B14"/>
    </sheetView>
  </sheetViews>
  <sheetFormatPr defaultRowHeight="15" x14ac:dyDescent="0.25"/>
  <cols>
    <col min="1" max="1" width="10.28515625" style="113" customWidth="1"/>
    <col min="2" max="2" width="40.85546875" style="122" bestFit="1" customWidth="1"/>
    <col min="3" max="3" width="18.7109375" style="113" bestFit="1" customWidth="1"/>
    <col min="4" max="4" width="9.140625" style="113" customWidth="1"/>
  </cols>
  <sheetData>
    <row r="1" spans="1:3" s="129" customFormat="1" ht="18.75" customHeight="1" x14ac:dyDescent="0.25">
      <c r="A1" s="127" t="s">
        <v>361</v>
      </c>
      <c r="B1" s="107" t="s">
        <v>414</v>
      </c>
      <c r="C1" s="128" t="s">
        <v>415</v>
      </c>
    </row>
    <row r="2" spans="1:3" ht="18.75" customHeight="1" x14ac:dyDescent="0.25">
      <c r="A2" s="123" t="s">
        <v>25</v>
      </c>
      <c r="B2" s="121" t="s">
        <v>336</v>
      </c>
      <c r="C2" s="124">
        <v>1500000</v>
      </c>
    </row>
    <row r="3" spans="1:3" ht="18.75" customHeight="1" x14ac:dyDescent="0.25">
      <c r="A3" s="123" t="s">
        <v>25</v>
      </c>
      <c r="B3" s="121" t="s">
        <v>139</v>
      </c>
      <c r="C3" s="124">
        <v>1500000</v>
      </c>
    </row>
    <row r="4" spans="1:3" ht="18.75" customHeight="1" x14ac:dyDescent="0.25">
      <c r="A4" s="123" t="s">
        <v>25</v>
      </c>
      <c r="B4" s="121" t="s">
        <v>157</v>
      </c>
      <c r="C4" s="124">
        <v>1500000</v>
      </c>
    </row>
    <row r="5" spans="1:3" ht="18.75" customHeight="1" x14ac:dyDescent="0.25">
      <c r="A5" s="123" t="s">
        <v>9</v>
      </c>
      <c r="B5" s="121" t="s">
        <v>205</v>
      </c>
      <c r="C5" s="124">
        <v>8500000</v>
      </c>
    </row>
    <row r="6" spans="1:3" ht="18.75" customHeight="1" x14ac:dyDescent="0.25">
      <c r="A6" s="123" t="s">
        <v>371</v>
      </c>
      <c r="B6" s="121" t="s">
        <v>416</v>
      </c>
      <c r="C6" s="124">
        <f>3*4250000</f>
        <v>12750000</v>
      </c>
    </row>
    <row r="7" spans="1:3" ht="18.75" customHeight="1" x14ac:dyDescent="0.25">
      <c r="A7" s="125" t="s">
        <v>371</v>
      </c>
      <c r="B7" s="126" t="s">
        <v>417</v>
      </c>
      <c r="C7" s="38">
        <v>8500000</v>
      </c>
    </row>
    <row r="8" spans="1:3" ht="18.75" customHeight="1" x14ac:dyDescent="0.25">
      <c r="A8" s="123"/>
      <c r="B8" s="121"/>
      <c r="C8" s="124"/>
    </row>
    <row r="9" spans="1:3" ht="18.75" customHeight="1" x14ac:dyDescent="0.25">
      <c r="A9" s="125"/>
      <c r="B9" s="126"/>
      <c r="C9" s="38"/>
    </row>
    <row r="10" spans="1:3" ht="18.75" customHeight="1" x14ac:dyDescent="0.25">
      <c r="A10" s="125" t="s">
        <v>418</v>
      </c>
      <c r="B10" s="126"/>
      <c r="C10" s="130">
        <f>SUBTOTAL(109,Таблица2[Minus summasi])</f>
        <v>34250000</v>
      </c>
    </row>
  </sheetData>
  <conditionalFormatting sqref="B1:C1 B2:B9">
    <cfRule type="duplicateValues" dxfId="296" priority="1"/>
    <cfRule type="duplicateValues" dxfId="295" priority="2"/>
    <cfRule type="duplicateValues" dxfId="294" priority="3"/>
    <cfRule type="duplicateValues" dxfId="293" priority="4"/>
    <cfRule type="duplicateValues" dxfId="292" priority="5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1"/>
  <sheetViews>
    <sheetView zoomScale="85" zoomScaleNormal="85" zoomScaleSheetLayoutView="70" workbookViewId="0">
      <selection activeCell="C123" sqref="C123"/>
    </sheetView>
  </sheetViews>
  <sheetFormatPr defaultColWidth="8.85546875" defaultRowHeight="18.75" x14ac:dyDescent="0.3"/>
  <cols>
    <col min="1" max="1" width="8.28515625" style="23" bestFit="1" customWidth="1"/>
    <col min="2" max="2" width="9.28515625" style="24" bestFit="1" customWidth="1"/>
    <col min="3" max="3" width="46.5703125" style="28" customWidth="1"/>
    <col min="4" max="4" width="24" style="40" bestFit="1" customWidth="1"/>
    <col min="5" max="5" width="23.140625" style="41" bestFit="1" customWidth="1"/>
    <col min="6" max="6" width="23.28515625" style="26" customWidth="1"/>
    <col min="7" max="7" width="18.5703125" style="27" customWidth="1"/>
    <col min="8" max="8" width="16.140625" style="28" customWidth="1"/>
    <col min="9" max="9" width="52.85546875" style="28" customWidth="1"/>
    <col min="10" max="27" width="8.85546875" style="28" customWidth="1"/>
    <col min="28" max="16384" width="8.85546875" style="28"/>
  </cols>
  <sheetData>
    <row r="1" spans="3:6" ht="40.5" customHeight="1" x14ac:dyDescent="0.3">
      <c r="C1" s="102" t="s">
        <v>0</v>
      </c>
      <c r="D1" s="103" t="s">
        <v>1</v>
      </c>
      <c r="E1" s="104" t="s">
        <v>2</v>
      </c>
      <c r="F1" s="104" t="s">
        <v>3</v>
      </c>
    </row>
    <row r="2" spans="3:6" hidden="1" x14ac:dyDescent="0.3">
      <c r="C2" s="88" t="s">
        <v>12</v>
      </c>
      <c r="D2" s="89">
        <v>114</v>
      </c>
      <c r="E2" s="92">
        <f>SUMIFS(F:F, A:A, D2, F:F, "&gt;0")</f>
        <v>0</v>
      </c>
      <c r="F2" s="29"/>
    </row>
    <row r="3" spans="3:6" hidden="1" x14ac:dyDescent="0.3">
      <c r="C3" s="88" t="s">
        <v>12</v>
      </c>
      <c r="D3" s="89">
        <v>115</v>
      </c>
      <c r="E3" s="92">
        <f>SUMIFS(F:F, A:A, D3, F:F, "&gt;0")</f>
        <v>15870000</v>
      </c>
      <c r="F3" s="29"/>
    </row>
    <row r="4" spans="3:6" hidden="1" x14ac:dyDescent="0.3">
      <c r="C4" s="88" t="s">
        <v>4</v>
      </c>
      <c r="D4" s="89">
        <v>116</v>
      </c>
      <c r="E4" s="92">
        <f>SUMIFS(F:F, A:A, D4, F:F, "&gt;0")</f>
        <v>5100000</v>
      </c>
      <c r="F4" s="29"/>
    </row>
    <row r="5" spans="3:6" x14ac:dyDescent="0.3">
      <c r="C5" s="90" t="s">
        <v>4</v>
      </c>
      <c r="D5" s="91" t="s">
        <v>5</v>
      </c>
      <c r="E5" s="29">
        <f t="shared" ref="E5:E18" si="0">COUNTIF($A$23:$A$830,D5)</f>
        <v>0</v>
      </c>
      <c r="F5" s="111">
        <f t="shared" ref="F5:F18" si="1">SUMIFS(F:F, A:A, D5, F:F, "&gt;0")</f>
        <v>0</v>
      </c>
    </row>
    <row r="6" spans="3:6" x14ac:dyDescent="0.3">
      <c r="C6" s="90" t="s">
        <v>6</v>
      </c>
      <c r="D6" s="91" t="s">
        <v>7</v>
      </c>
      <c r="E6" s="29">
        <f t="shared" si="0"/>
        <v>0</v>
      </c>
      <c r="F6" s="111">
        <f t="shared" si="1"/>
        <v>0</v>
      </c>
    </row>
    <row r="7" spans="3:6" x14ac:dyDescent="0.3">
      <c r="C7" s="90" t="s">
        <v>8</v>
      </c>
      <c r="D7" s="91" t="s">
        <v>9</v>
      </c>
      <c r="E7" s="29">
        <f t="shared" si="0"/>
        <v>0</v>
      </c>
      <c r="F7" s="111">
        <f t="shared" si="1"/>
        <v>0</v>
      </c>
    </row>
    <row r="8" spans="3:6" x14ac:dyDescent="0.3">
      <c r="C8" s="90" t="s">
        <v>419</v>
      </c>
      <c r="D8" s="91" t="s">
        <v>371</v>
      </c>
      <c r="E8" s="29">
        <f t="shared" si="0"/>
        <v>29</v>
      </c>
      <c r="F8" s="111">
        <f t="shared" si="1"/>
        <v>59</v>
      </c>
    </row>
    <row r="9" spans="3:6" x14ac:dyDescent="0.3">
      <c r="C9" s="90" t="s">
        <v>10</v>
      </c>
      <c r="D9" s="91" t="s">
        <v>11</v>
      </c>
      <c r="E9" s="29">
        <f t="shared" si="0"/>
        <v>0</v>
      </c>
      <c r="F9" s="111">
        <f t="shared" si="1"/>
        <v>0</v>
      </c>
    </row>
    <row r="10" spans="3:6" x14ac:dyDescent="0.3">
      <c r="C10" s="90" t="s">
        <v>12</v>
      </c>
      <c r="D10" s="91" t="s">
        <v>13</v>
      </c>
      <c r="E10" s="29">
        <f t="shared" si="0"/>
        <v>0</v>
      </c>
      <c r="F10" s="111">
        <f t="shared" si="1"/>
        <v>0</v>
      </c>
    </row>
    <row r="11" spans="3:6" x14ac:dyDescent="0.3">
      <c r="C11" s="90" t="s">
        <v>14</v>
      </c>
      <c r="D11" s="91" t="s">
        <v>15</v>
      </c>
      <c r="E11" s="29">
        <f t="shared" si="0"/>
        <v>0</v>
      </c>
      <c r="F11" s="111">
        <f t="shared" si="1"/>
        <v>0</v>
      </c>
    </row>
    <row r="12" spans="3:6" x14ac:dyDescent="0.3">
      <c r="C12" s="90" t="s">
        <v>16</v>
      </c>
      <c r="D12" s="91" t="s">
        <v>17</v>
      </c>
      <c r="E12" s="29">
        <f t="shared" si="0"/>
        <v>0</v>
      </c>
      <c r="F12" s="111">
        <f t="shared" si="1"/>
        <v>0</v>
      </c>
    </row>
    <row r="13" spans="3:6" x14ac:dyDescent="0.3">
      <c r="C13" s="90" t="s">
        <v>18</v>
      </c>
      <c r="D13" s="91" t="s">
        <v>19</v>
      </c>
      <c r="E13" s="29">
        <f t="shared" si="0"/>
        <v>0</v>
      </c>
      <c r="F13" s="111">
        <f t="shared" si="1"/>
        <v>0</v>
      </c>
    </row>
    <row r="14" spans="3:6" x14ac:dyDescent="0.3">
      <c r="C14" s="90" t="s">
        <v>20</v>
      </c>
      <c r="D14" s="91" t="s">
        <v>21</v>
      </c>
      <c r="E14" s="29">
        <f t="shared" si="0"/>
        <v>0</v>
      </c>
      <c r="F14" s="111">
        <f t="shared" si="1"/>
        <v>0</v>
      </c>
    </row>
    <row r="15" spans="3:6" x14ac:dyDescent="0.3">
      <c r="C15" s="90" t="s">
        <v>22</v>
      </c>
      <c r="D15" s="91" t="s">
        <v>23</v>
      </c>
      <c r="E15" s="29">
        <f t="shared" si="0"/>
        <v>0</v>
      </c>
      <c r="F15" s="111">
        <f t="shared" si="1"/>
        <v>0</v>
      </c>
    </row>
    <row r="16" spans="3:6" x14ac:dyDescent="0.3">
      <c r="C16" s="90" t="s">
        <v>18</v>
      </c>
      <c r="D16" s="91" t="s">
        <v>24</v>
      </c>
      <c r="E16" s="29">
        <f t="shared" si="0"/>
        <v>0</v>
      </c>
      <c r="F16" s="111">
        <f t="shared" si="1"/>
        <v>0</v>
      </c>
    </row>
    <row r="17" spans="1:8" x14ac:dyDescent="0.3">
      <c r="C17" s="90" t="s">
        <v>4</v>
      </c>
      <c r="D17" s="91" t="s">
        <v>25</v>
      </c>
      <c r="E17" s="29">
        <f t="shared" si="0"/>
        <v>0</v>
      </c>
      <c r="F17" s="111">
        <f t="shared" si="1"/>
        <v>0</v>
      </c>
    </row>
    <row r="18" spans="1:8" x14ac:dyDescent="0.3">
      <c r="C18" s="90" t="s">
        <v>26</v>
      </c>
      <c r="D18" s="91" t="s">
        <v>27</v>
      </c>
      <c r="E18" s="29">
        <f t="shared" si="0"/>
        <v>0</v>
      </c>
      <c r="F18" s="111">
        <f t="shared" si="1"/>
        <v>0</v>
      </c>
    </row>
    <row r="19" spans="1:8" x14ac:dyDescent="0.3">
      <c r="C19" s="137" t="s">
        <v>28</v>
      </c>
      <c r="D19" s="138"/>
      <c r="E19" s="93">
        <f>SUM(E5:E18)</f>
        <v>29</v>
      </c>
      <c r="F19" s="93">
        <f>SUM(F5:F18)</f>
        <v>59</v>
      </c>
    </row>
    <row r="21" spans="1:8" ht="19.5" customHeight="1" x14ac:dyDescent="0.3">
      <c r="A21" s="30"/>
      <c r="B21" s="25"/>
      <c r="C21" s="31" t="s">
        <v>29</v>
      </c>
      <c r="D21" s="32">
        <v>46212</v>
      </c>
      <c r="E21" s="78"/>
      <c r="F21" s="79"/>
      <c r="G21" s="28"/>
    </row>
    <row r="22" spans="1:8" s="33" customFormat="1" ht="71.25" customHeight="1" x14ac:dyDescent="0.25">
      <c r="A22" s="80" t="s">
        <v>31</v>
      </c>
      <c r="B22" s="81" t="s">
        <v>32</v>
      </c>
      <c r="C22" s="81" t="s">
        <v>33</v>
      </c>
      <c r="D22" s="82" t="s">
        <v>34</v>
      </c>
      <c r="E22" s="94" t="s">
        <v>28</v>
      </c>
      <c r="F22" s="82" t="s">
        <v>35</v>
      </c>
    </row>
    <row r="23" spans="1:8" x14ac:dyDescent="0.3">
      <c r="A23" s="35">
        <v>115</v>
      </c>
      <c r="B23" s="108">
        <f>COUNTIF($A$23:A23,A23)</f>
        <v>1</v>
      </c>
      <c r="C23" s="36" t="s">
        <v>420</v>
      </c>
      <c r="D23" s="37">
        <v>17000000</v>
      </c>
      <c r="E23" s="37">
        <f>10100000</f>
        <v>10100000</v>
      </c>
      <c r="F23" s="37">
        <f t="shared" ref="F23:F54" si="2">D23-E23</f>
        <v>6900000</v>
      </c>
      <c r="H23" s="34"/>
    </row>
    <row r="24" spans="1:8" x14ac:dyDescent="0.3">
      <c r="A24" s="35">
        <v>116</v>
      </c>
      <c r="B24" s="108">
        <f>COUNTIF($A$23:A24,A24)</f>
        <v>1</v>
      </c>
      <c r="C24" s="36" t="s">
        <v>421</v>
      </c>
      <c r="D24" s="37">
        <f>8500000+1700000+1700000+1700000+1700000+1700000</f>
        <v>17000000</v>
      </c>
      <c r="E24" s="37">
        <f>8950000+2950000</f>
        <v>11900000</v>
      </c>
      <c r="F24" s="37">
        <f t="shared" si="2"/>
        <v>5100000</v>
      </c>
      <c r="H24" s="34"/>
    </row>
    <row r="25" spans="1:8" x14ac:dyDescent="0.3">
      <c r="A25" s="35">
        <v>115</v>
      </c>
      <c r="B25" s="108">
        <f>COUNTIF($A$23:A25,A25)</f>
        <v>2</v>
      </c>
      <c r="C25" s="36" t="s">
        <v>422</v>
      </c>
      <c r="D25" s="37">
        <v>17000000</v>
      </c>
      <c r="E25" s="37">
        <f>12000000</f>
        <v>12000000</v>
      </c>
      <c r="F25" s="37">
        <f t="shared" si="2"/>
        <v>5000000</v>
      </c>
      <c r="H25" s="34"/>
    </row>
    <row r="26" spans="1:8" x14ac:dyDescent="0.3">
      <c r="A26" s="35">
        <v>115</v>
      </c>
      <c r="B26" s="108">
        <f>COUNTIF($A$23:A26,A26)</f>
        <v>3</v>
      </c>
      <c r="C26" s="36" t="s">
        <v>423</v>
      </c>
      <c r="D26" s="37">
        <v>17000000</v>
      </c>
      <c r="E26" s="37">
        <f>10790000+2000000+240000</f>
        <v>13030000</v>
      </c>
      <c r="F26" s="37">
        <f t="shared" si="2"/>
        <v>3970000</v>
      </c>
      <c r="H26" s="34"/>
    </row>
    <row r="27" spans="1:8" x14ac:dyDescent="0.3">
      <c r="A27" s="35">
        <v>114</v>
      </c>
      <c r="B27" s="108">
        <f>COUNTIF($A$23:A27,A27)</f>
        <v>1</v>
      </c>
      <c r="C27" s="36" t="s">
        <v>424</v>
      </c>
      <c r="D27" s="37">
        <v>17000000</v>
      </c>
      <c r="E27" s="37">
        <f>17000000</f>
        <v>17000000</v>
      </c>
      <c r="F27" s="37">
        <f t="shared" si="2"/>
        <v>0</v>
      </c>
      <c r="H27" s="34"/>
    </row>
    <row r="28" spans="1:8" x14ac:dyDescent="0.3">
      <c r="A28" s="35">
        <v>114</v>
      </c>
      <c r="B28" s="108">
        <f>COUNTIF($A$23:A28,A28)</f>
        <v>2</v>
      </c>
      <c r="C28" s="36" t="s">
        <v>425</v>
      </c>
      <c r="D28" s="37">
        <v>17000000</v>
      </c>
      <c r="E28" s="37">
        <f>12100000+2000000+2900000</f>
        <v>17000000</v>
      </c>
      <c r="F28" s="37">
        <f t="shared" si="2"/>
        <v>0</v>
      </c>
      <c r="H28" s="34"/>
    </row>
    <row r="29" spans="1:8" x14ac:dyDescent="0.3">
      <c r="A29" s="35">
        <v>114</v>
      </c>
      <c r="B29" s="108">
        <f>COUNTIF($A$23:A29,A29)</f>
        <v>3</v>
      </c>
      <c r="C29" s="36" t="s">
        <v>426</v>
      </c>
      <c r="D29" s="37">
        <v>17000000</v>
      </c>
      <c r="E29" s="37">
        <f>12500000+800000+1000000+2700000</f>
        <v>17000000</v>
      </c>
      <c r="F29" s="37">
        <f t="shared" si="2"/>
        <v>0</v>
      </c>
      <c r="H29" s="34"/>
    </row>
    <row r="30" spans="1:8" x14ac:dyDescent="0.3">
      <c r="A30" s="35">
        <v>114</v>
      </c>
      <c r="B30" s="108">
        <f>COUNTIF($A$23:A30,A30)</f>
        <v>4</v>
      </c>
      <c r="C30" s="36" t="s">
        <v>427</v>
      </c>
      <c r="D30" s="37">
        <v>17000000</v>
      </c>
      <c r="E30" s="37">
        <f>13285000+1500000+2130000+85000</f>
        <v>17000000</v>
      </c>
      <c r="F30" s="37">
        <f t="shared" si="2"/>
        <v>0</v>
      </c>
      <c r="H30" s="34"/>
    </row>
    <row r="31" spans="1:8" x14ac:dyDescent="0.3">
      <c r="A31" s="35">
        <v>114</v>
      </c>
      <c r="B31" s="108">
        <f>COUNTIF($A$23:A31,A31)</f>
        <v>5</v>
      </c>
      <c r="C31" s="36" t="s">
        <v>428</v>
      </c>
      <c r="D31" s="37">
        <v>17000000</v>
      </c>
      <c r="E31" s="37">
        <f>15000000+2000000</f>
        <v>17000000</v>
      </c>
      <c r="F31" s="37">
        <f t="shared" si="2"/>
        <v>0</v>
      </c>
      <c r="H31" s="34"/>
    </row>
    <row r="32" spans="1:8" x14ac:dyDescent="0.3">
      <c r="A32" s="35">
        <v>114</v>
      </c>
      <c r="B32" s="108">
        <f>COUNTIF($A$23:A32,A32)</f>
        <v>6</v>
      </c>
      <c r="C32" s="36" t="s">
        <v>429</v>
      </c>
      <c r="D32" s="37">
        <v>17000000</v>
      </c>
      <c r="E32" s="37">
        <f>17000000</f>
        <v>17000000</v>
      </c>
      <c r="F32" s="37">
        <f t="shared" si="2"/>
        <v>0</v>
      </c>
      <c r="H32" s="34"/>
    </row>
    <row r="33" spans="1:8" x14ac:dyDescent="0.3">
      <c r="A33" s="35">
        <v>114</v>
      </c>
      <c r="B33" s="108">
        <f>COUNTIF($A$23:A33,A33)</f>
        <v>7</v>
      </c>
      <c r="C33" s="36" t="s">
        <v>430</v>
      </c>
      <c r="D33" s="37">
        <v>17000000</v>
      </c>
      <c r="E33" s="37">
        <f>13000000+4000000</f>
        <v>17000000</v>
      </c>
      <c r="F33" s="37">
        <f t="shared" si="2"/>
        <v>0</v>
      </c>
      <c r="H33" s="34"/>
    </row>
    <row r="34" spans="1:8" x14ac:dyDescent="0.3">
      <c r="A34" s="35">
        <v>114</v>
      </c>
      <c r="B34" s="108">
        <f>COUNTIF($A$23:A34,A34)</f>
        <v>8</v>
      </c>
      <c r="C34" s="36" t="s">
        <v>431</v>
      </c>
      <c r="D34" s="37">
        <v>17000000</v>
      </c>
      <c r="E34" s="37">
        <f>16217000+783000</f>
        <v>17000000</v>
      </c>
      <c r="F34" s="37">
        <f t="shared" si="2"/>
        <v>0</v>
      </c>
      <c r="H34" s="34"/>
    </row>
    <row r="35" spans="1:8" x14ac:dyDescent="0.3">
      <c r="A35" s="35">
        <v>114</v>
      </c>
      <c r="B35" s="108">
        <f>COUNTIF($A$23:A35,A35)</f>
        <v>9</v>
      </c>
      <c r="C35" s="36" t="s">
        <v>432</v>
      </c>
      <c r="D35" s="37">
        <v>17000000</v>
      </c>
      <c r="E35" s="37">
        <f>11500000+4000000+1500000</f>
        <v>17000000</v>
      </c>
      <c r="F35" s="37">
        <f t="shared" si="2"/>
        <v>0</v>
      </c>
      <c r="H35" s="34"/>
    </row>
    <row r="36" spans="1:8" x14ac:dyDescent="0.3">
      <c r="A36" s="35">
        <v>114</v>
      </c>
      <c r="B36" s="108">
        <f>COUNTIF($A$23:A36,A36)</f>
        <v>10</v>
      </c>
      <c r="C36" s="36" t="s">
        <v>433</v>
      </c>
      <c r="D36" s="37">
        <v>17000000</v>
      </c>
      <c r="E36" s="37">
        <f>17000000</f>
        <v>17000000</v>
      </c>
      <c r="F36" s="37">
        <f t="shared" si="2"/>
        <v>0</v>
      </c>
      <c r="H36" s="34"/>
    </row>
    <row r="37" spans="1:8" x14ac:dyDescent="0.3">
      <c r="A37" s="35">
        <v>114</v>
      </c>
      <c r="B37" s="108">
        <f>COUNTIF($A$23:A37,A37)</f>
        <v>11</v>
      </c>
      <c r="C37" s="36" t="s">
        <v>434</v>
      </c>
      <c r="D37" s="37">
        <v>17000000</v>
      </c>
      <c r="E37" s="37">
        <f>12425000+1800000+2000000+775000</f>
        <v>17000000</v>
      </c>
      <c r="F37" s="37">
        <f t="shared" si="2"/>
        <v>0</v>
      </c>
      <c r="H37" s="34"/>
    </row>
    <row r="38" spans="1:8" x14ac:dyDescent="0.3">
      <c r="A38" s="35">
        <v>114</v>
      </c>
      <c r="B38" s="108">
        <f>COUNTIF($A$23:A38,A38)</f>
        <v>12</v>
      </c>
      <c r="C38" s="36" t="s">
        <v>435</v>
      </c>
      <c r="D38" s="37">
        <v>17000000</v>
      </c>
      <c r="E38" s="37">
        <f>15000000+2000000</f>
        <v>17000000</v>
      </c>
      <c r="F38" s="37">
        <f t="shared" si="2"/>
        <v>0</v>
      </c>
      <c r="H38" s="34"/>
    </row>
    <row r="39" spans="1:8" x14ac:dyDescent="0.3">
      <c r="A39" s="35">
        <v>114</v>
      </c>
      <c r="B39" s="108">
        <f>COUNTIF($A$23:A39,A39)</f>
        <v>13</v>
      </c>
      <c r="C39" s="36" t="s">
        <v>436</v>
      </c>
      <c r="D39" s="37">
        <v>17000000</v>
      </c>
      <c r="E39" s="37">
        <v>17000000</v>
      </c>
      <c r="F39" s="37">
        <f t="shared" si="2"/>
        <v>0</v>
      </c>
      <c r="H39" s="34"/>
    </row>
    <row r="40" spans="1:8" x14ac:dyDescent="0.3">
      <c r="A40" s="35">
        <v>114</v>
      </c>
      <c r="B40" s="108">
        <f>COUNTIF($A$23:A40,A40)</f>
        <v>14</v>
      </c>
      <c r="C40" s="36" t="s">
        <v>437</v>
      </c>
      <c r="D40" s="37">
        <v>17000000</v>
      </c>
      <c r="E40" s="37">
        <f>17000000</f>
        <v>17000000</v>
      </c>
      <c r="F40" s="37">
        <f t="shared" si="2"/>
        <v>0</v>
      </c>
      <c r="H40" s="34"/>
    </row>
    <row r="41" spans="1:8" x14ac:dyDescent="0.3">
      <c r="A41" s="35">
        <v>114</v>
      </c>
      <c r="B41" s="108">
        <f>COUNTIF($A$23:A41,A41)</f>
        <v>15</v>
      </c>
      <c r="C41" s="36" t="s">
        <v>438</v>
      </c>
      <c r="D41" s="37">
        <v>17000000</v>
      </c>
      <c r="E41" s="37">
        <f>12745000+2130000+2125000</f>
        <v>17000000</v>
      </c>
      <c r="F41" s="37">
        <f t="shared" si="2"/>
        <v>0</v>
      </c>
      <c r="H41" s="34"/>
    </row>
    <row r="42" spans="1:8" x14ac:dyDescent="0.3">
      <c r="A42" s="35">
        <v>114</v>
      </c>
      <c r="B42" s="108">
        <f>COUNTIF($A$23:A42,A42)</f>
        <v>16</v>
      </c>
      <c r="C42" s="36" t="s">
        <v>439</v>
      </c>
      <c r="D42" s="37">
        <v>17000000</v>
      </c>
      <c r="E42" s="37">
        <f>8500000+8500000</f>
        <v>17000000</v>
      </c>
      <c r="F42" s="37">
        <f t="shared" si="2"/>
        <v>0</v>
      </c>
      <c r="H42" s="34"/>
    </row>
    <row r="43" spans="1:8" x14ac:dyDescent="0.3">
      <c r="A43" s="35">
        <v>114</v>
      </c>
      <c r="B43" s="108">
        <f>COUNTIF($A$23:A43,A43)</f>
        <v>17</v>
      </c>
      <c r="C43" s="36" t="s">
        <v>440</v>
      </c>
      <c r="D43" s="37">
        <v>17000000</v>
      </c>
      <c r="E43" s="37">
        <f>17000000</f>
        <v>17000000</v>
      </c>
      <c r="F43" s="37">
        <f t="shared" si="2"/>
        <v>0</v>
      </c>
      <c r="H43" s="34"/>
    </row>
    <row r="44" spans="1:8" x14ac:dyDescent="0.3">
      <c r="A44" s="35">
        <v>114</v>
      </c>
      <c r="B44" s="108">
        <f>COUNTIF($A$23:A44,A44)</f>
        <v>18</v>
      </c>
      <c r="C44" s="36" t="s">
        <v>441</v>
      </c>
      <c r="D44" s="37">
        <v>17000000</v>
      </c>
      <c r="E44" s="37">
        <f>12500000+4500000</f>
        <v>17000000</v>
      </c>
      <c r="F44" s="37">
        <f t="shared" si="2"/>
        <v>0</v>
      </c>
      <c r="H44" s="34"/>
    </row>
    <row r="45" spans="1:8" x14ac:dyDescent="0.3">
      <c r="A45" s="35">
        <v>114</v>
      </c>
      <c r="B45" s="108">
        <f>COUNTIF($A$23:A45,A45)</f>
        <v>19</v>
      </c>
      <c r="C45" s="36" t="s">
        <v>442</v>
      </c>
      <c r="D45" s="37">
        <v>17000000</v>
      </c>
      <c r="E45" s="37">
        <f>17000000</f>
        <v>17000000</v>
      </c>
      <c r="F45" s="37">
        <f t="shared" si="2"/>
        <v>0</v>
      </c>
      <c r="H45" s="34"/>
    </row>
    <row r="46" spans="1:8" x14ac:dyDescent="0.3">
      <c r="A46" s="35">
        <v>114</v>
      </c>
      <c r="B46" s="108">
        <f>COUNTIF($A$23:A46,A46)</f>
        <v>20</v>
      </c>
      <c r="C46" s="36" t="s">
        <v>443</v>
      </c>
      <c r="D46" s="37">
        <v>17000000</v>
      </c>
      <c r="E46" s="37">
        <f>17000000</f>
        <v>17000000</v>
      </c>
      <c r="F46" s="37">
        <f t="shared" si="2"/>
        <v>0</v>
      </c>
      <c r="H46" s="34"/>
    </row>
    <row r="47" spans="1:8" x14ac:dyDescent="0.3">
      <c r="A47" s="35">
        <v>114</v>
      </c>
      <c r="B47" s="108">
        <f>COUNTIF($A$23:A47,A47)</f>
        <v>21</v>
      </c>
      <c r="C47" s="36" t="s">
        <v>444</v>
      </c>
      <c r="D47" s="37">
        <v>17000000</v>
      </c>
      <c r="E47" s="37">
        <f>10700000+5000000+1300000</f>
        <v>17000000</v>
      </c>
      <c r="F47" s="37">
        <f t="shared" si="2"/>
        <v>0</v>
      </c>
      <c r="H47" s="34"/>
    </row>
    <row r="48" spans="1:8" x14ac:dyDescent="0.3">
      <c r="A48" s="35">
        <v>114</v>
      </c>
      <c r="B48" s="108">
        <f>COUNTIF($A$23:A48,A48)</f>
        <v>22</v>
      </c>
      <c r="C48" s="36" t="s">
        <v>445</v>
      </c>
      <c r="D48" s="37">
        <v>17000000</v>
      </c>
      <c r="E48" s="37">
        <f>7975000+3500000+3500000+2025000</f>
        <v>17000000</v>
      </c>
      <c r="F48" s="37">
        <f t="shared" si="2"/>
        <v>0</v>
      </c>
      <c r="H48" s="34"/>
    </row>
    <row r="49" spans="1:8" x14ac:dyDescent="0.3">
      <c r="A49" s="35">
        <v>114</v>
      </c>
      <c r="B49" s="108">
        <f>COUNTIF($A$23:A49,A49)</f>
        <v>23</v>
      </c>
      <c r="C49" s="36" t="s">
        <v>446</v>
      </c>
      <c r="D49" s="37">
        <v>17000000</v>
      </c>
      <c r="E49" s="37">
        <f>15500000+1500000</f>
        <v>17000000</v>
      </c>
      <c r="F49" s="37">
        <f t="shared" si="2"/>
        <v>0</v>
      </c>
      <c r="H49" s="34"/>
    </row>
    <row r="50" spans="1:8" x14ac:dyDescent="0.3">
      <c r="A50" s="35">
        <v>114</v>
      </c>
      <c r="B50" s="108">
        <f>COUNTIF($A$23:A50,A50)</f>
        <v>24</v>
      </c>
      <c r="C50" s="36" t="s">
        <v>447</v>
      </c>
      <c r="D50" s="37">
        <v>17000000</v>
      </c>
      <c r="E50" s="37">
        <f>15000000+2000000</f>
        <v>17000000</v>
      </c>
      <c r="F50" s="37">
        <f t="shared" si="2"/>
        <v>0</v>
      </c>
      <c r="H50" s="34"/>
    </row>
    <row r="51" spans="1:8" x14ac:dyDescent="0.3">
      <c r="A51" s="35">
        <v>115</v>
      </c>
      <c r="B51" s="108">
        <f>COUNTIF($A$23:A51,A51)</f>
        <v>4</v>
      </c>
      <c r="C51" s="36" t="s">
        <v>448</v>
      </c>
      <c r="D51" s="37">
        <v>17000000</v>
      </c>
      <c r="E51" s="37">
        <f>12750000+2125000+2125000</f>
        <v>17000000</v>
      </c>
      <c r="F51" s="37">
        <f t="shared" si="2"/>
        <v>0</v>
      </c>
      <c r="H51" s="34"/>
    </row>
    <row r="52" spans="1:8" x14ac:dyDescent="0.3">
      <c r="A52" s="35">
        <v>115</v>
      </c>
      <c r="B52" s="108">
        <f>COUNTIF($A$23:A52,A52)</f>
        <v>5</v>
      </c>
      <c r="C52" s="36" t="s">
        <v>449</v>
      </c>
      <c r="D52" s="37">
        <v>17000000</v>
      </c>
      <c r="E52" s="37">
        <f>12750000+4250000</f>
        <v>17000000</v>
      </c>
      <c r="F52" s="37">
        <f t="shared" si="2"/>
        <v>0</v>
      </c>
      <c r="H52" s="34"/>
    </row>
    <row r="53" spans="1:8" x14ac:dyDescent="0.3">
      <c r="A53" s="35">
        <v>115</v>
      </c>
      <c r="B53" s="108">
        <f>COUNTIF($A$23:A53,A53)</f>
        <v>6</v>
      </c>
      <c r="C53" s="36" t="s">
        <v>450</v>
      </c>
      <c r="D53" s="37">
        <v>17000000</v>
      </c>
      <c r="E53" s="37">
        <f>14038000+2962000</f>
        <v>17000000</v>
      </c>
      <c r="F53" s="37">
        <f t="shared" si="2"/>
        <v>0</v>
      </c>
      <c r="H53" s="34"/>
    </row>
    <row r="54" spans="1:8" x14ac:dyDescent="0.3">
      <c r="A54" s="35">
        <v>115</v>
      </c>
      <c r="B54" s="108">
        <f>COUNTIF($A$23:A54,A54)</f>
        <v>7</v>
      </c>
      <c r="C54" s="36" t="s">
        <v>451</v>
      </c>
      <c r="D54" s="37">
        <v>17000000</v>
      </c>
      <c r="E54" s="37">
        <f>14750000+2250000</f>
        <v>17000000</v>
      </c>
      <c r="F54" s="37">
        <f t="shared" si="2"/>
        <v>0</v>
      </c>
      <c r="H54" s="34"/>
    </row>
    <row r="55" spans="1:8" x14ac:dyDescent="0.3">
      <c r="A55" s="35">
        <v>115</v>
      </c>
      <c r="B55" s="108">
        <f>COUNTIF($A$23:A55,A55)</f>
        <v>8</v>
      </c>
      <c r="C55" s="36" t="s">
        <v>452</v>
      </c>
      <c r="D55" s="37">
        <v>17000000</v>
      </c>
      <c r="E55" s="37">
        <f>14600000+1900000+500000</f>
        <v>17000000</v>
      </c>
      <c r="F55" s="37">
        <f t="shared" ref="F55:F86" si="3">D55-E55</f>
        <v>0</v>
      </c>
      <c r="H55" s="34"/>
    </row>
    <row r="56" spans="1:8" x14ac:dyDescent="0.3">
      <c r="A56" s="35">
        <v>115</v>
      </c>
      <c r="B56" s="108">
        <f>COUNTIF($A$23:A56,A56)</f>
        <v>9</v>
      </c>
      <c r="C56" s="36" t="s">
        <v>453</v>
      </c>
      <c r="D56" s="37">
        <v>17000000</v>
      </c>
      <c r="E56" s="37">
        <f>16900000+100000</f>
        <v>17000000</v>
      </c>
      <c r="F56" s="37">
        <f t="shared" si="3"/>
        <v>0</v>
      </c>
      <c r="H56" s="34"/>
    </row>
    <row r="57" spans="1:8" x14ac:dyDescent="0.3">
      <c r="A57" s="35">
        <v>115</v>
      </c>
      <c r="B57" s="108">
        <f>COUNTIF($A$23:A57,A57)</f>
        <v>10</v>
      </c>
      <c r="C57" s="36" t="s">
        <v>454</v>
      </c>
      <c r="D57" s="37">
        <v>17000000</v>
      </c>
      <c r="E57" s="37">
        <f>16500000+500000</f>
        <v>17000000</v>
      </c>
      <c r="F57" s="37">
        <f t="shared" si="3"/>
        <v>0</v>
      </c>
      <c r="H57" s="34"/>
    </row>
    <row r="58" spans="1:8" x14ac:dyDescent="0.3">
      <c r="A58" s="35">
        <v>115</v>
      </c>
      <c r="B58" s="108">
        <f>COUNTIF($A$23:A58,A58)</f>
        <v>11</v>
      </c>
      <c r="C58" s="36" t="s">
        <v>455</v>
      </c>
      <c r="D58" s="37">
        <v>17000000</v>
      </c>
      <c r="E58" s="37">
        <f>17000000</f>
        <v>17000000</v>
      </c>
      <c r="F58" s="37">
        <f t="shared" si="3"/>
        <v>0</v>
      </c>
      <c r="H58" s="34"/>
    </row>
    <row r="59" spans="1:8" x14ac:dyDescent="0.3">
      <c r="A59" s="35">
        <v>115</v>
      </c>
      <c r="B59" s="108">
        <f>COUNTIF($A$23:A59,A59)</f>
        <v>12</v>
      </c>
      <c r="C59" s="36" t="s">
        <v>456</v>
      </c>
      <c r="D59" s="37">
        <v>17000000</v>
      </c>
      <c r="E59" s="37">
        <f>14875000+2125000</f>
        <v>17000000</v>
      </c>
      <c r="F59" s="37">
        <f t="shared" si="3"/>
        <v>0</v>
      </c>
      <c r="H59" s="34"/>
    </row>
    <row r="60" spans="1:8" x14ac:dyDescent="0.3">
      <c r="A60" s="35">
        <v>115</v>
      </c>
      <c r="B60" s="108">
        <f>COUNTIF($A$23:A60,A60)</f>
        <v>13</v>
      </c>
      <c r="C60" s="36" t="s">
        <v>457</v>
      </c>
      <c r="D60" s="37">
        <v>17000000</v>
      </c>
      <c r="E60" s="37">
        <f>13125000+3875000</f>
        <v>17000000</v>
      </c>
      <c r="F60" s="37">
        <f t="shared" si="3"/>
        <v>0</v>
      </c>
      <c r="H60" s="34"/>
    </row>
    <row r="61" spans="1:8" x14ac:dyDescent="0.3">
      <c r="A61" s="35">
        <v>115</v>
      </c>
      <c r="B61" s="108">
        <f>COUNTIF($A$23:A61,A61)</f>
        <v>14</v>
      </c>
      <c r="C61" s="36" t="s">
        <v>458</v>
      </c>
      <c r="D61" s="37">
        <v>17000000</v>
      </c>
      <c r="E61" s="37">
        <f>17000000</f>
        <v>17000000</v>
      </c>
      <c r="F61" s="37">
        <f t="shared" si="3"/>
        <v>0</v>
      </c>
      <c r="H61" s="34"/>
    </row>
    <row r="62" spans="1:8" x14ac:dyDescent="0.3">
      <c r="A62" s="35">
        <v>115</v>
      </c>
      <c r="B62" s="108">
        <f>COUNTIF($A$23:A62,A62)</f>
        <v>15</v>
      </c>
      <c r="C62" s="36" t="s">
        <v>459</v>
      </c>
      <c r="D62" s="37">
        <v>17000000</v>
      </c>
      <c r="E62" s="37">
        <f>15000000+2000000</f>
        <v>17000000</v>
      </c>
      <c r="F62" s="37">
        <f t="shared" si="3"/>
        <v>0</v>
      </c>
      <c r="H62" s="34"/>
    </row>
    <row r="63" spans="1:8" x14ac:dyDescent="0.3">
      <c r="A63" s="35">
        <v>115</v>
      </c>
      <c r="B63" s="108">
        <f>COUNTIF($A$23:A63,A63)</f>
        <v>16</v>
      </c>
      <c r="C63" s="36" t="s">
        <v>460</v>
      </c>
      <c r="D63" s="37">
        <v>17000000</v>
      </c>
      <c r="E63" s="37">
        <f>14000000+3000000</f>
        <v>17000000</v>
      </c>
      <c r="F63" s="37">
        <f t="shared" si="3"/>
        <v>0</v>
      </c>
      <c r="H63" s="34"/>
    </row>
    <row r="64" spans="1:8" x14ac:dyDescent="0.3">
      <c r="A64" s="35">
        <v>115</v>
      </c>
      <c r="B64" s="108">
        <f>COUNTIF($A$23:A64,A64)</f>
        <v>17</v>
      </c>
      <c r="C64" s="36" t="s">
        <v>461</v>
      </c>
      <c r="D64" s="37">
        <v>17000000</v>
      </c>
      <c r="E64" s="37">
        <f>17000000</f>
        <v>17000000</v>
      </c>
      <c r="F64" s="37">
        <f t="shared" si="3"/>
        <v>0</v>
      </c>
      <c r="H64" s="34"/>
    </row>
    <row r="65" spans="1:8" x14ac:dyDescent="0.3">
      <c r="A65" s="35">
        <v>115</v>
      </c>
      <c r="B65" s="108">
        <f>COUNTIF($A$23:A65,A65)</f>
        <v>18</v>
      </c>
      <c r="C65" s="36" t="s">
        <v>462</v>
      </c>
      <c r="D65" s="37">
        <v>17000000</v>
      </c>
      <c r="E65" s="37">
        <f>15300000+1700000</f>
        <v>17000000</v>
      </c>
      <c r="F65" s="37">
        <f t="shared" si="3"/>
        <v>0</v>
      </c>
      <c r="H65" s="34"/>
    </row>
    <row r="66" spans="1:8" x14ac:dyDescent="0.3">
      <c r="A66" s="35">
        <v>115</v>
      </c>
      <c r="B66" s="108">
        <f>COUNTIF($A$23:A66,A66)</f>
        <v>19</v>
      </c>
      <c r="C66" s="36" t="s">
        <v>463</v>
      </c>
      <c r="D66" s="37">
        <v>17000000</v>
      </c>
      <c r="E66" s="37">
        <f>16500000+500000</f>
        <v>17000000</v>
      </c>
      <c r="F66" s="37">
        <f t="shared" si="3"/>
        <v>0</v>
      </c>
      <c r="H66" s="34"/>
    </row>
    <row r="67" spans="1:8" x14ac:dyDescent="0.3">
      <c r="A67" s="35">
        <v>115</v>
      </c>
      <c r="B67" s="108">
        <f>COUNTIF($A$23:A67,A67)</f>
        <v>20</v>
      </c>
      <c r="C67" s="36" t="s">
        <v>464</v>
      </c>
      <c r="D67" s="37">
        <v>17000000</v>
      </c>
      <c r="E67" s="37">
        <f>13500000+3500000</f>
        <v>17000000</v>
      </c>
      <c r="F67" s="37">
        <f t="shared" si="3"/>
        <v>0</v>
      </c>
      <c r="H67" s="34"/>
    </row>
    <row r="68" spans="1:8" x14ac:dyDescent="0.3">
      <c r="A68" s="35">
        <v>116</v>
      </c>
      <c r="B68" s="108">
        <f>COUNTIF($A$23:A68,A68)</f>
        <v>2</v>
      </c>
      <c r="C68" s="36" t="s">
        <v>465</v>
      </c>
      <c r="D68" s="37">
        <v>17000000</v>
      </c>
      <c r="E68" s="37">
        <f>15620000+1380000</f>
        <v>17000000</v>
      </c>
      <c r="F68" s="37">
        <f t="shared" si="3"/>
        <v>0</v>
      </c>
      <c r="H68" s="34"/>
    </row>
    <row r="69" spans="1:8" x14ac:dyDescent="0.3">
      <c r="A69" s="35">
        <v>116</v>
      </c>
      <c r="B69" s="108">
        <f>COUNTIF($A$23:A69,A69)</f>
        <v>3</v>
      </c>
      <c r="C69" s="36" t="s">
        <v>466</v>
      </c>
      <c r="D69" s="37">
        <v>17000000</v>
      </c>
      <c r="E69" s="37">
        <f>12750000+2125000+2125000</f>
        <v>17000000</v>
      </c>
      <c r="F69" s="37">
        <f t="shared" si="3"/>
        <v>0</v>
      </c>
      <c r="H69" s="34"/>
    </row>
    <row r="70" spans="1:8" x14ac:dyDescent="0.3">
      <c r="A70" s="35">
        <v>116</v>
      </c>
      <c r="B70" s="108">
        <f>COUNTIF($A$23:A70,A70)</f>
        <v>4</v>
      </c>
      <c r="C70" s="36" t="s">
        <v>467</v>
      </c>
      <c r="D70" s="37">
        <v>17000000</v>
      </c>
      <c r="E70" s="37">
        <f>10250000+4000000+2750000</f>
        <v>17000000</v>
      </c>
      <c r="F70" s="37">
        <f t="shared" si="3"/>
        <v>0</v>
      </c>
      <c r="H70" s="34"/>
    </row>
    <row r="71" spans="1:8" x14ac:dyDescent="0.3">
      <c r="A71" s="35">
        <v>116</v>
      </c>
      <c r="B71" s="108">
        <f>COUNTIF($A$23:A71,A71)</f>
        <v>5</v>
      </c>
      <c r="C71" s="36" t="s">
        <v>468</v>
      </c>
      <c r="D71" s="37">
        <v>17000000</v>
      </c>
      <c r="E71" s="37">
        <f>17000000</f>
        <v>17000000</v>
      </c>
      <c r="F71" s="37">
        <f t="shared" si="3"/>
        <v>0</v>
      </c>
      <c r="H71" s="34"/>
    </row>
    <row r="72" spans="1:8" x14ac:dyDescent="0.3">
      <c r="A72" s="35">
        <v>116</v>
      </c>
      <c r="B72" s="108">
        <f>COUNTIF($A$23:A72,A72)</f>
        <v>6</v>
      </c>
      <c r="C72" s="36" t="s">
        <v>469</v>
      </c>
      <c r="D72" s="37">
        <v>17000000</v>
      </c>
      <c r="E72" s="37">
        <f>10500000+3000000+3500000</f>
        <v>17000000</v>
      </c>
      <c r="F72" s="37">
        <f t="shared" si="3"/>
        <v>0</v>
      </c>
      <c r="H72" s="34"/>
    </row>
    <row r="73" spans="1:8" x14ac:dyDescent="0.3">
      <c r="A73" s="35">
        <v>116</v>
      </c>
      <c r="B73" s="108">
        <f>COUNTIF($A$23:A73,A73)</f>
        <v>7</v>
      </c>
      <c r="C73" s="36" t="s">
        <v>470</v>
      </c>
      <c r="D73" s="37">
        <v>17000000</v>
      </c>
      <c r="E73" s="37">
        <f>15000000+2000000</f>
        <v>17000000</v>
      </c>
      <c r="F73" s="37">
        <f t="shared" si="3"/>
        <v>0</v>
      </c>
      <c r="H73" s="34"/>
    </row>
    <row r="74" spans="1:8" x14ac:dyDescent="0.3">
      <c r="A74" s="35">
        <v>116</v>
      </c>
      <c r="B74" s="108">
        <f>COUNTIF($A$23:A74,A74)</f>
        <v>8</v>
      </c>
      <c r="C74" s="36" t="s">
        <v>471</v>
      </c>
      <c r="D74" s="37">
        <v>17000000</v>
      </c>
      <c r="E74" s="37">
        <f>8500000+7000000+1500000</f>
        <v>17000000</v>
      </c>
      <c r="F74" s="37">
        <f t="shared" si="3"/>
        <v>0</v>
      </c>
      <c r="H74" s="34"/>
    </row>
    <row r="75" spans="1:8" x14ac:dyDescent="0.3">
      <c r="A75" s="35">
        <v>116</v>
      </c>
      <c r="B75" s="108">
        <f>COUNTIF($A$23:A75,A75)</f>
        <v>9</v>
      </c>
      <c r="C75" s="36" t="s">
        <v>472</v>
      </c>
      <c r="D75" s="37">
        <f t="shared" ref="D75:D86" si="4">8500000+1700000+1700000+1700000+1700000+1700000</f>
        <v>17000000</v>
      </c>
      <c r="E75" s="37">
        <f>14500000+2500000</f>
        <v>17000000</v>
      </c>
      <c r="F75" s="37">
        <f t="shared" si="3"/>
        <v>0</v>
      </c>
      <c r="H75" s="34"/>
    </row>
    <row r="76" spans="1:8" x14ac:dyDescent="0.3">
      <c r="A76" s="35">
        <v>116</v>
      </c>
      <c r="B76" s="108">
        <f>COUNTIF($A$23:A76,A76)</f>
        <v>10</v>
      </c>
      <c r="C76" s="36" t="s">
        <v>473</v>
      </c>
      <c r="D76" s="37">
        <f t="shared" si="4"/>
        <v>17000000</v>
      </c>
      <c r="E76" s="37">
        <f>13043000+2000000+1957000</f>
        <v>17000000</v>
      </c>
      <c r="F76" s="37">
        <f t="shared" si="3"/>
        <v>0</v>
      </c>
      <c r="H76" s="34"/>
    </row>
    <row r="77" spans="1:8" x14ac:dyDescent="0.3">
      <c r="A77" s="35">
        <v>116</v>
      </c>
      <c r="B77" s="108">
        <f>COUNTIF($A$23:A77,A77)</f>
        <v>11</v>
      </c>
      <c r="C77" s="36" t="s">
        <v>474</v>
      </c>
      <c r="D77" s="37">
        <f t="shared" si="4"/>
        <v>17000000</v>
      </c>
      <c r="E77" s="37">
        <f>9750000+1900000+5350000</f>
        <v>17000000</v>
      </c>
      <c r="F77" s="37">
        <f t="shared" si="3"/>
        <v>0</v>
      </c>
      <c r="H77" s="34"/>
    </row>
    <row r="78" spans="1:8" x14ac:dyDescent="0.3">
      <c r="A78" s="35">
        <v>116</v>
      </c>
      <c r="B78" s="108">
        <f>COUNTIF($A$23:A78,A78)</f>
        <v>12</v>
      </c>
      <c r="C78" s="36" t="s">
        <v>475</v>
      </c>
      <c r="D78" s="37">
        <f t="shared" si="4"/>
        <v>17000000</v>
      </c>
      <c r="E78" s="37">
        <f>13000000+4000000</f>
        <v>17000000</v>
      </c>
      <c r="F78" s="37">
        <f t="shared" si="3"/>
        <v>0</v>
      </c>
      <c r="H78" s="34"/>
    </row>
    <row r="79" spans="1:8" x14ac:dyDescent="0.3">
      <c r="A79" s="35">
        <v>116</v>
      </c>
      <c r="B79" s="108">
        <f>COUNTIF($A$23:A79,A79)</f>
        <v>13</v>
      </c>
      <c r="C79" s="36" t="s">
        <v>476</v>
      </c>
      <c r="D79" s="37">
        <f t="shared" si="4"/>
        <v>17000000</v>
      </c>
      <c r="E79" s="37">
        <f>4981000+7500000+4519000</f>
        <v>17000000</v>
      </c>
      <c r="F79" s="37">
        <f t="shared" si="3"/>
        <v>0</v>
      </c>
      <c r="H79" s="34"/>
    </row>
    <row r="80" spans="1:8" x14ac:dyDescent="0.3">
      <c r="A80" s="35">
        <v>116</v>
      </c>
      <c r="B80" s="108">
        <f>COUNTIF($A$23:A80,A80)</f>
        <v>14</v>
      </c>
      <c r="C80" s="36" t="s">
        <v>477</v>
      </c>
      <c r="D80" s="37">
        <f t="shared" si="4"/>
        <v>17000000</v>
      </c>
      <c r="E80" s="37">
        <f>12000000+5000000</f>
        <v>17000000</v>
      </c>
      <c r="F80" s="37">
        <f t="shared" si="3"/>
        <v>0</v>
      </c>
    </row>
    <row r="81" spans="1:6" x14ac:dyDescent="0.3">
      <c r="A81" s="35">
        <v>116</v>
      </c>
      <c r="B81" s="108">
        <f>COUNTIF($A$23:A81,A81)</f>
        <v>15</v>
      </c>
      <c r="C81" s="36" t="s">
        <v>478</v>
      </c>
      <c r="D81" s="37">
        <f t="shared" si="4"/>
        <v>17000000</v>
      </c>
      <c r="E81" s="37">
        <f>12500000+2000000+2500000</f>
        <v>17000000</v>
      </c>
      <c r="F81" s="37">
        <f t="shared" si="3"/>
        <v>0</v>
      </c>
    </row>
    <row r="82" spans="1:6" x14ac:dyDescent="0.3">
      <c r="A82" s="35">
        <v>116</v>
      </c>
      <c r="B82" s="108">
        <f>COUNTIF($A$23:A82,A82)</f>
        <v>16</v>
      </c>
      <c r="C82" s="36" t="s">
        <v>479</v>
      </c>
      <c r="D82" s="37">
        <f t="shared" si="4"/>
        <v>17000000</v>
      </c>
      <c r="E82" s="37">
        <f>14590000+2410000</f>
        <v>17000000</v>
      </c>
      <c r="F82" s="37">
        <f t="shared" si="3"/>
        <v>0</v>
      </c>
    </row>
    <row r="83" spans="1:6" x14ac:dyDescent="0.3">
      <c r="A83" s="35">
        <v>116</v>
      </c>
      <c r="B83" s="108">
        <f>COUNTIF($A$23:A83,A83)</f>
        <v>17</v>
      </c>
      <c r="C83" s="36" t="s">
        <v>480</v>
      </c>
      <c r="D83" s="37">
        <f t="shared" si="4"/>
        <v>17000000</v>
      </c>
      <c r="E83" s="37">
        <f>8500000+8500000</f>
        <v>17000000</v>
      </c>
      <c r="F83" s="37">
        <f t="shared" si="3"/>
        <v>0</v>
      </c>
    </row>
    <row r="84" spans="1:6" x14ac:dyDescent="0.3">
      <c r="A84" s="35">
        <v>116</v>
      </c>
      <c r="B84" s="108">
        <f>COUNTIF($A$23:A84,A84)</f>
        <v>18</v>
      </c>
      <c r="C84" s="36" t="s">
        <v>481</v>
      </c>
      <c r="D84" s="37">
        <f t="shared" si="4"/>
        <v>17000000</v>
      </c>
      <c r="E84" s="37">
        <f>8500000+8500000</f>
        <v>17000000</v>
      </c>
      <c r="F84" s="37">
        <f t="shared" si="3"/>
        <v>0</v>
      </c>
    </row>
    <row r="85" spans="1:6" x14ac:dyDescent="0.3">
      <c r="A85" s="35">
        <v>116</v>
      </c>
      <c r="B85" s="108">
        <f>COUNTIF($A$23:A85,A85)</f>
        <v>19</v>
      </c>
      <c r="C85" s="36" t="s">
        <v>482</v>
      </c>
      <c r="D85" s="37">
        <f t="shared" si="4"/>
        <v>17000000</v>
      </c>
      <c r="E85" s="37">
        <f>15500000+1500000</f>
        <v>17000000</v>
      </c>
      <c r="F85" s="37">
        <f t="shared" si="3"/>
        <v>0</v>
      </c>
    </row>
    <row r="86" spans="1:6" x14ac:dyDescent="0.3">
      <c r="A86" s="35">
        <v>116</v>
      </c>
      <c r="B86" s="108">
        <f>COUNTIF($A$23:A86,A86)</f>
        <v>20</v>
      </c>
      <c r="C86" s="36" t="s">
        <v>483</v>
      </c>
      <c r="D86" s="37">
        <f t="shared" si="4"/>
        <v>17000000</v>
      </c>
      <c r="E86" s="37">
        <f>12750000+4250000</f>
        <v>17000000</v>
      </c>
      <c r="F86" s="37">
        <f t="shared" si="3"/>
        <v>0</v>
      </c>
    </row>
    <row r="87" spans="1:6" x14ac:dyDescent="0.3">
      <c r="A87" s="35">
        <v>114</v>
      </c>
      <c r="B87" s="108">
        <f>COUNTIF($A$23:A87,A87)</f>
        <v>25</v>
      </c>
      <c r="C87" s="36" t="s">
        <v>484</v>
      </c>
      <c r="D87" s="37">
        <v>17000000</v>
      </c>
      <c r="E87" s="37">
        <f>14389200+2611000</f>
        <v>17000200</v>
      </c>
      <c r="F87" s="37">
        <f t="shared" ref="F87:F118" si="5">D87-E87</f>
        <v>-200</v>
      </c>
    </row>
    <row r="88" spans="1:6" x14ac:dyDescent="0.3">
      <c r="A88" s="35">
        <v>116</v>
      </c>
      <c r="B88" s="108">
        <f>COUNTIF($A$23:A88,A88)</f>
        <v>21</v>
      </c>
      <c r="C88" s="36" t="s">
        <v>485</v>
      </c>
      <c r="D88" s="37">
        <f>8500000+1700000+1700000+1700000+1700000+1700000</f>
        <v>17000000</v>
      </c>
      <c r="E88" s="37">
        <f>17000250</f>
        <v>17000250</v>
      </c>
      <c r="F88" s="37">
        <f t="shared" si="5"/>
        <v>-250</v>
      </c>
    </row>
    <row r="89" spans="1:6" x14ac:dyDescent="0.3">
      <c r="A89" s="35">
        <v>115</v>
      </c>
      <c r="B89" s="108">
        <f>COUNTIF($A$23:A89,A89)</f>
        <v>21</v>
      </c>
      <c r="C89" s="36" t="s">
        <v>486</v>
      </c>
      <c r="D89" s="37">
        <v>17000000</v>
      </c>
      <c r="E89" s="37">
        <f>14625000+2376000</f>
        <v>17001000</v>
      </c>
      <c r="F89" s="37">
        <f t="shared" si="5"/>
        <v>-1000</v>
      </c>
    </row>
    <row r="90" spans="1:6" x14ac:dyDescent="0.3">
      <c r="A90" s="35">
        <v>115</v>
      </c>
      <c r="B90" s="108">
        <f>COUNTIF($A$23:A90,A90)</f>
        <v>22</v>
      </c>
      <c r="C90" s="36" t="s">
        <v>487</v>
      </c>
      <c r="D90" s="37">
        <v>17000000</v>
      </c>
      <c r="E90" s="37">
        <f>17001000</f>
        <v>17001000</v>
      </c>
      <c r="F90" s="37">
        <f t="shared" si="5"/>
        <v>-1000</v>
      </c>
    </row>
    <row r="91" spans="1:6" x14ac:dyDescent="0.3">
      <c r="A91" s="35">
        <v>114</v>
      </c>
      <c r="B91" s="108">
        <f>COUNTIF($A$23:A91,A91)</f>
        <v>26</v>
      </c>
      <c r="C91" s="36" t="s">
        <v>488</v>
      </c>
      <c r="D91" s="37">
        <v>17000000</v>
      </c>
      <c r="E91" s="37">
        <f>15627000+1375000</f>
        <v>17002000</v>
      </c>
      <c r="F91" s="37">
        <f t="shared" si="5"/>
        <v>-2000</v>
      </c>
    </row>
    <row r="92" spans="1:6" x14ac:dyDescent="0.3">
      <c r="A92" s="35">
        <v>115</v>
      </c>
      <c r="B92" s="108">
        <f>COUNTIF($A$23:A92,A92)</f>
        <v>23</v>
      </c>
      <c r="C92" s="36" t="s">
        <v>489</v>
      </c>
      <c r="D92" s="37">
        <v>17000000</v>
      </c>
      <c r="E92" s="37">
        <f>12752000+2125000+2125000</f>
        <v>17002000</v>
      </c>
      <c r="F92" s="37">
        <f t="shared" si="5"/>
        <v>-2000</v>
      </c>
    </row>
    <row r="93" spans="1:6" x14ac:dyDescent="0.3">
      <c r="A93" s="35">
        <v>115</v>
      </c>
      <c r="B93" s="108">
        <f>COUNTIF($A$23:A93,A93)</f>
        <v>24</v>
      </c>
      <c r="C93" s="36" t="s">
        <v>490</v>
      </c>
      <c r="D93" s="37">
        <v>17000000</v>
      </c>
      <c r="E93" s="37">
        <f>12500000+2162000+2340000</f>
        <v>17002000</v>
      </c>
      <c r="F93" s="37">
        <f t="shared" si="5"/>
        <v>-2000</v>
      </c>
    </row>
    <row r="94" spans="1:6" x14ac:dyDescent="0.3">
      <c r="A94" s="35">
        <v>114</v>
      </c>
      <c r="B94" s="108">
        <f>COUNTIF($A$23:A94,A94)</f>
        <v>27</v>
      </c>
      <c r="C94" s="36" t="s">
        <v>491</v>
      </c>
      <c r="D94" s="37">
        <v>17000000</v>
      </c>
      <c r="E94" s="37">
        <f>12367000+2412000+2225000</f>
        <v>17004000</v>
      </c>
      <c r="F94" s="37">
        <f t="shared" si="5"/>
        <v>-4000</v>
      </c>
    </row>
    <row r="95" spans="1:6" x14ac:dyDescent="0.3">
      <c r="A95" s="35">
        <v>114</v>
      </c>
      <c r="B95" s="108">
        <f>COUNTIF($A$23:A95,A95)</f>
        <v>28</v>
      </c>
      <c r="C95" s="36" t="s">
        <v>492</v>
      </c>
      <c r="D95" s="37">
        <v>17000000</v>
      </c>
      <c r="E95" s="37">
        <f>13060000+2387000+1560000</f>
        <v>17007000</v>
      </c>
      <c r="F95" s="37">
        <f t="shared" si="5"/>
        <v>-7000</v>
      </c>
    </row>
    <row r="96" spans="1:6" x14ac:dyDescent="0.3">
      <c r="A96" s="35">
        <v>115</v>
      </c>
      <c r="B96" s="108">
        <f>COUNTIF($A$23:A96,A96)</f>
        <v>25</v>
      </c>
      <c r="C96" s="36" t="s">
        <v>493</v>
      </c>
      <c r="D96" s="37">
        <v>17000000</v>
      </c>
      <c r="E96" s="37">
        <f>12750000+2386000+1900000</f>
        <v>17036000</v>
      </c>
      <c r="F96" s="37">
        <f t="shared" si="5"/>
        <v>-36000</v>
      </c>
    </row>
    <row r="97" spans="1:6" x14ac:dyDescent="0.3">
      <c r="A97" s="35">
        <v>115</v>
      </c>
      <c r="B97" s="108">
        <f>COUNTIF($A$23:A97,A97)</f>
        <v>26</v>
      </c>
      <c r="C97" s="36" t="s">
        <v>494</v>
      </c>
      <c r="D97" s="37">
        <v>17000000</v>
      </c>
      <c r="E97" s="37">
        <f>14875000+1200000+1000000</f>
        <v>17075000</v>
      </c>
      <c r="F97" s="37">
        <f t="shared" si="5"/>
        <v>-75000</v>
      </c>
    </row>
    <row r="98" spans="1:6" x14ac:dyDescent="0.3">
      <c r="A98" s="35">
        <v>116</v>
      </c>
      <c r="B98" s="108">
        <f>COUNTIF($A$23:A98,A98)</f>
        <v>22</v>
      </c>
      <c r="C98" s="36" t="s">
        <v>495</v>
      </c>
      <c r="D98" s="37">
        <f>8500000+1700000+1700000+1700000+1700000+1700000</f>
        <v>17000000</v>
      </c>
      <c r="E98" s="37">
        <f>15000000+2150000</f>
        <v>17150000</v>
      </c>
      <c r="F98" s="37">
        <f t="shared" si="5"/>
        <v>-150000</v>
      </c>
    </row>
    <row r="99" spans="1:6" x14ac:dyDescent="0.3">
      <c r="A99" s="35">
        <v>116</v>
      </c>
      <c r="B99" s="108">
        <f>COUNTIF($A$23:A99,A99)</f>
        <v>23</v>
      </c>
      <c r="C99" s="36" t="s">
        <v>496</v>
      </c>
      <c r="D99" s="37">
        <f>8500000+1700000+1700000+1700000+1700000+1700000</f>
        <v>17000000</v>
      </c>
      <c r="E99" s="37">
        <f>17250000</f>
        <v>17250000</v>
      </c>
      <c r="F99" s="37">
        <f t="shared" si="5"/>
        <v>-250000</v>
      </c>
    </row>
    <row r="100" spans="1:6" x14ac:dyDescent="0.3">
      <c r="A100" s="35">
        <v>114</v>
      </c>
      <c r="B100" s="108">
        <f>COUNTIF($A$23:A100,A100)</f>
        <v>29</v>
      </c>
      <c r="C100" s="36" t="s">
        <v>497</v>
      </c>
      <c r="D100" s="37">
        <v>17000000</v>
      </c>
      <c r="E100" s="37">
        <f>17600000</f>
        <v>17600000</v>
      </c>
      <c r="F100" s="37">
        <f t="shared" si="5"/>
        <v>-600000</v>
      </c>
    </row>
    <row r="101" spans="1:6" x14ac:dyDescent="0.3">
      <c r="A101" s="35" t="s">
        <v>498</v>
      </c>
      <c r="B101" s="109">
        <f>COUNTIF($A$23:A130,A101)</f>
        <v>27</v>
      </c>
      <c r="C101" s="36" t="s">
        <v>499</v>
      </c>
      <c r="D101" s="37">
        <f>8500000+1700000+1700000+1700000+1700000</f>
        <v>15300000</v>
      </c>
      <c r="E101" s="37">
        <f>14750000+2250000</f>
        <v>17000000</v>
      </c>
      <c r="F101" s="37">
        <f t="shared" si="5"/>
        <v>-1700000</v>
      </c>
    </row>
    <row r="102" spans="1:6" x14ac:dyDescent="0.3">
      <c r="A102" s="35" t="s">
        <v>371</v>
      </c>
      <c r="B102" s="108">
        <f>COUNTIF($A$102:A102,A102)</f>
        <v>1</v>
      </c>
      <c r="C102" s="36" t="s">
        <v>500</v>
      </c>
      <c r="D102" s="37">
        <v>17000000</v>
      </c>
      <c r="E102" s="37">
        <f>8500000+2352941+1047000+1100000+4000000</f>
        <v>16999941</v>
      </c>
      <c r="F102" s="37">
        <f t="shared" si="5"/>
        <v>59</v>
      </c>
    </row>
    <row r="103" spans="1:6" x14ac:dyDescent="0.3">
      <c r="A103" s="35" t="s">
        <v>371</v>
      </c>
      <c r="B103" s="108">
        <f>COUNTIF($A$102:A103,A103)</f>
        <v>2</v>
      </c>
      <c r="C103" s="36" t="s">
        <v>501</v>
      </c>
      <c r="D103" s="37">
        <v>17000000</v>
      </c>
      <c r="E103" s="37">
        <f>8500000+3500000+1600000+3400000</f>
        <v>17000000</v>
      </c>
      <c r="F103" s="37">
        <f t="shared" si="5"/>
        <v>0</v>
      </c>
    </row>
    <row r="104" spans="1:6" x14ac:dyDescent="0.3">
      <c r="A104" s="35" t="s">
        <v>371</v>
      </c>
      <c r="B104" s="108">
        <f>COUNTIF($A$102:A104,A104)</f>
        <v>3</v>
      </c>
      <c r="C104" s="36" t="s">
        <v>502</v>
      </c>
      <c r="D104" s="37">
        <v>17000000</v>
      </c>
      <c r="E104" s="37">
        <f>8100000+1000000+800000+3000000+2000000+1000000+1100000</f>
        <v>17000000</v>
      </c>
      <c r="F104" s="37">
        <f t="shared" si="5"/>
        <v>0</v>
      </c>
    </row>
    <row r="105" spans="1:6" x14ac:dyDescent="0.3">
      <c r="A105" s="35" t="s">
        <v>371</v>
      </c>
      <c r="B105" s="108">
        <f>COUNTIF($A$102:A105,A105)</f>
        <v>4</v>
      </c>
      <c r="C105" s="36" t="s">
        <v>503</v>
      </c>
      <c r="D105" s="37">
        <v>17000000</v>
      </c>
      <c r="E105" s="37">
        <f>8500000+2000000+1000000+2100000+1200000+1000000+1200000</f>
        <v>17000000</v>
      </c>
      <c r="F105" s="37">
        <f t="shared" si="5"/>
        <v>0</v>
      </c>
    </row>
    <row r="106" spans="1:6" x14ac:dyDescent="0.3">
      <c r="A106" s="35" t="s">
        <v>371</v>
      </c>
      <c r="B106" s="108">
        <f>COUNTIF($A$102:A106,A106)</f>
        <v>5</v>
      </c>
      <c r="C106" s="36" t="s">
        <v>504</v>
      </c>
      <c r="D106" s="37">
        <v>17000000</v>
      </c>
      <c r="E106" s="37">
        <f>8500000+3300000+1800000+1700000+1150000+550000</f>
        <v>17000000</v>
      </c>
      <c r="F106" s="37">
        <f t="shared" si="5"/>
        <v>0</v>
      </c>
    </row>
    <row r="107" spans="1:6" x14ac:dyDescent="0.3">
      <c r="A107" s="35" t="s">
        <v>371</v>
      </c>
      <c r="B107" s="108">
        <f>COUNTIF($A$102:A107,A107)</f>
        <v>6</v>
      </c>
      <c r="C107" s="36" t="s">
        <v>505</v>
      </c>
      <c r="D107" s="37">
        <v>17000000</v>
      </c>
      <c r="E107" s="37">
        <f>9821000+3800000+3379000</f>
        <v>17000000</v>
      </c>
      <c r="F107" s="37">
        <f t="shared" si="5"/>
        <v>0</v>
      </c>
    </row>
    <row r="108" spans="1:6" x14ac:dyDescent="0.3">
      <c r="A108" s="35" t="s">
        <v>371</v>
      </c>
      <c r="B108" s="108">
        <f>COUNTIF($A$102:A108,A108)</f>
        <v>7</v>
      </c>
      <c r="C108" s="36" t="s">
        <v>506</v>
      </c>
      <c r="D108" s="37">
        <v>17000000</v>
      </c>
      <c r="E108" s="37">
        <f>8500000+1700000+2000000+1400000+1300000+2100000</f>
        <v>17000000</v>
      </c>
      <c r="F108" s="37">
        <f t="shared" si="5"/>
        <v>0</v>
      </c>
    </row>
    <row r="109" spans="1:6" x14ac:dyDescent="0.3">
      <c r="A109" s="35" t="s">
        <v>371</v>
      </c>
      <c r="B109" s="108">
        <f>COUNTIF($A$102:A109,A109)</f>
        <v>8</v>
      </c>
      <c r="C109" s="36" t="s">
        <v>507</v>
      </c>
      <c r="D109" s="37">
        <v>17000000</v>
      </c>
      <c r="E109" s="37">
        <f>8500000+4500000+4000000</f>
        <v>17000000</v>
      </c>
      <c r="F109" s="37">
        <f t="shared" si="5"/>
        <v>0</v>
      </c>
    </row>
    <row r="110" spans="1:6" x14ac:dyDescent="0.3">
      <c r="A110" s="35" t="s">
        <v>371</v>
      </c>
      <c r="B110" s="108">
        <f>COUNTIF($A$102:A110,A110)</f>
        <v>9</v>
      </c>
      <c r="C110" s="36" t="s">
        <v>508</v>
      </c>
      <c r="D110" s="37">
        <v>17000000</v>
      </c>
      <c r="E110" s="37">
        <f>11500000+5500000</f>
        <v>17000000</v>
      </c>
      <c r="F110" s="37">
        <f t="shared" si="5"/>
        <v>0</v>
      </c>
    </row>
    <row r="111" spans="1:6" x14ac:dyDescent="0.3">
      <c r="A111" s="35" t="s">
        <v>371</v>
      </c>
      <c r="B111" s="108">
        <f>COUNTIF($A$102:A112,A111)</f>
        <v>11</v>
      </c>
      <c r="C111" s="36" t="s">
        <v>416</v>
      </c>
      <c r="D111" s="37">
        <v>4250000</v>
      </c>
      <c r="E111" s="37">
        <f>1000000+3250000</f>
        <v>4250000</v>
      </c>
      <c r="F111" s="37">
        <f t="shared" si="5"/>
        <v>0</v>
      </c>
    </row>
    <row r="112" spans="1:6" x14ac:dyDescent="0.3">
      <c r="A112" s="35" t="s">
        <v>371</v>
      </c>
      <c r="B112" s="108">
        <f>COUNTIF($A$102:A112,A112)</f>
        <v>11</v>
      </c>
      <c r="C112" s="36" t="s">
        <v>509</v>
      </c>
      <c r="D112" s="37">
        <v>17000000</v>
      </c>
      <c r="E112" s="37">
        <f>8500000+3000000+3500000+1000000+1000000</f>
        <v>17000000</v>
      </c>
      <c r="F112" s="37">
        <f t="shared" si="5"/>
        <v>0</v>
      </c>
    </row>
    <row r="113" spans="1:6" x14ac:dyDescent="0.3">
      <c r="A113" s="35" t="s">
        <v>371</v>
      </c>
      <c r="B113" s="108">
        <f>COUNTIF($A$102:A113,A113)</f>
        <v>12</v>
      </c>
      <c r="C113" s="36" t="s">
        <v>510</v>
      </c>
      <c r="D113" s="37">
        <v>17000000</v>
      </c>
      <c r="E113" s="37">
        <f>10500000+1400000+1700000+2000000+1400000</f>
        <v>17000000</v>
      </c>
      <c r="F113" s="37">
        <f t="shared" si="5"/>
        <v>0</v>
      </c>
    </row>
    <row r="114" spans="1:6" x14ac:dyDescent="0.3">
      <c r="A114" s="35" t="s">
        <v>371</v>
      </c>
      <c r="B114" s="108">
        <f>COUNTIF($A$102:A114,A114)</f>
        <v>13</v>
      </c>
      <c r="C114" s="36" t="s">
        <v>511</v>
      </c>
      <c r="D114" s="37">
        <v>17000000</v>
      </c>
      <c r="E114" s="37">
        <f>8500000+1000000+1200000+1200000+1000000+950000+1000000+1250000+900000</f>
        <v>17000000</v>
      </c>
      <c r="F114" s="37">
        <f t="shared" si="5"/>
        <v>0</v>
      </c>
    </row>
    <row r="115" spans="1:6" x14ac:dyDescent="0.3">
      <c r="A115" s="35" t="s">
        <v>371</v>
      </c>
      <c r="B115" s="108">
        <f>COUNTIF($A$102:A115,A115)</f>
        <v>14</v>
      </c>
      <c r="C115" s="36" t="s">
        <v>512</v>
      </c>
      <c r="D115" s="37">
        <v>17000000</v>
      </c>
      <c r="E115" s="37">
        <f>8500000+2000000+1450000+1000000+1000000+1350000+1700000</f>
        <v>17000000</v>
      </c>
      <c r="F115" s="37">
        <f t="shared" si="5"/>
        <v>0</v>
      </c>
    </row>
    <row r="116" spans="1:6" x14ac:dyDescent="0.3">
      <c r="A116" s="35" t="s">
        <v>371</v>
      </c>
      <c r="B116" s="108">
        <f>COUNTIF($A$102:A116,A116)</f>
        <v>15</v>
      </c>
      <c r="C116" s="36" t="s">
        <v>513</v>
      </c>
      <c r="D116" s="37">
        <v>17000000</v>
      </c>
      <c r="E116" s="37">
        <f>8502000+1700000+1700000+1700000+3398000</f>
        <v>17000000</v>
      </c>
      <c r="F116" s="37">
        <f t="shared" si="5"/>
        <v>0</v>
      </c>
    </row>
    <row r="117" spans="1:6" x14ac:dyDescent="0.3">
      <c r="A117" s="35" t="s">
        <v>371</v>
      </c>
      <c r="B117" s="108">
        <f>COUNTIF($A$102:A117,A117)</f>
        <v>16</v>
      </c>
      <c r="C117" s="36" t="s">
        <v>514</v>
      </c>
      <c r="D117" s="37">
        <v>17000000</v>
      </c>
      <c r="E117" s="37">
        <f>9779000+2121000+1700000+1700000+1700000</f>
        <v>17000000</v>
      </c>
      <c r="F117" s="37">
        <f t="shared" si="5"/>
        <v>0</v>
      </c>
    </row>
    <row r="118" spans="1:6" x14ac:dyDescent="0.3">
      <c r="A118" s="35" t="s">
        <v>371</v>
      </c>
      <c r="B118" s="108">
        <f>COUNTIF($A$102:A118,A118)</f>
        <v>17</v>
      </c>
      <c r="C118" s="36" t="s">
        <v>515</v>
      </c>
      <c r="D118" s="37">
        <v>17000000</v>
      </c>
      <c r="E118" s="37">
        <f>8505000+1800000+2200000+2000000+1500000+995000</f>
        <v>17000000</v>
      </c>
      <c r="F118" s="37">
        <f t="shared" si="5"/>
        <v>0</v>
      </c>
    </row>
    <row r="119" spans="1:6" x14ac:dyDescent="0.3">
      <c r="A119" s="35" t="s">
        <v>371</v>
      </c>
      <c r="B119" s="108">
        <f>COUNTIF($A$102:A119,A119)</f>
        <v>18</v>
      </c>
      <c r="C119" s="36" t="s">
        <v>516</v>
      </c>
      <c r="D119" s="37">
        <v>17000000</v>
      </c>
      <c r="E119" s="37">
        <f>10300000+1650000+1550000+1800000+1700000</f>
        <v>17000000</v>
      </c>
      <c r="F119" s="37">
        <f t="shared" ref="F119:F150" si="6">D119-E119</f>
        <v>0</v>
      </c>
    </row>
    <row r="120" spans="1:6" x14ac:dyDescent="0.3">
      <c r="A120" s="35" t="s">
        <v>371</v>
      </c>
      <c r="B120" s="108">
        <f>COUNTIF($A$102:A120,A120)</f>
        <v>19</v>
      </c>
      <c r="C120" s="36" t="s">
        <v>517</v>
      </c>
      <c r="D120" s="37">
        <v>17000000</v>
      </c>
      <c r="E120" s="37">
        <f>10500000+2000000+1100000+2000000+1400000</f>
        <v>17000000</v>
      </c>
      <c r="F120" s="37">
        <f t="shared" si="6"/>
        <v>0</v>
      </c>
    </row>
    <row r="121" spans="1:6" x14ac:dyDescent="0.3">
      <c r="A121" s="35" t="s">
        <v>371</v>
      </c>
      <c r="B121" s="108">
        <f>COUNTIF($A$102:A121,A121)</f>
        <v>20</v>
      </c>
      <c r="C121" s="36" t="s">
        <v>518</v>
      </c>
      <c r="D121" s="37">
        <v>17000000</v>
      </c>
      <c r="E121" s="37">
        <f>8500000+3000000+2000000+1213000+1600000+687000</f>
        <v>17000000</v>
      </c>
      <c r="F121" s="37">
        <f t="shared" si="6"/>
        <v>0</v>
      </c>
    </row>
    <row r="122" spans="1:6" x14ac:dyDescent="0.3">
      <c r="A122" s="35" t="s">
        <v>371</v>
      </c>
      <c r="B122" s="108">
        <f>COUNTIF($A$102:A122,A122)</f>
        <v>21</v>
      </c>
      <c r="C122" s="36" t="s">
        <v>519</v>
      </c>
      <c r="D122" s="37">
        <v>17000000</v>
      </c>
      <c r="E122" s="37">
        <f>10500000+1400000+2000000+1400000+1700000</f>
        <v>17000000</v>
      </c>
      <c r="F122" s="37">
        <f t="shared" si="6"/>
        <v>0</v>
      </c>
    </row>
    <row r="123" spans="1:6" x14ac:dyDescent="0.3">
      <c r="A123" s="35" t="s">
        <v>371</v>
      </c>
      <c r="B123" s="108">
        <f>COUNTIF($A$102:A123,A123)</f>
        <v>22</v>
      </c>
      <c r="C123" s="36" t="s">
        <v>520</v>
      </c>
      <c r="D123" s="37">
        <v>17000000</v>
      </c>
      <c r="E123" s="37">
        <f>2200000+8500000+6300000</f>
        <v>17000000</v>
      </c>
      <c r="F123" s="37">
        <f t="shared" si="6"/>
        <v>0</v>
      </c>
    </row>
    <row r="124" spans="1:6" x14ac:dyDescent="0.3">
      <c r="A124" s="35" t="s">
        <v>371</v>
      </c>
      <c r="B124" s="108">
        <f>COUNTIF($A$102:A124,A124)</f>
        <v>23</v>
      </c>
      <c r="C124" s="36" t="s">
        <v>417</v>
      </c>
      <c r="D124" s="37">
        <v>8500000</v>
      </c>
      <c r="E124" s="37">
        <f>8500000</f>
        <v>8500000</v>
      </c>
      <c r="F124" s="37">
        <f t="shared" si="6"/>
        <v>0</v>
      </c>
    </row>
    <row r="125" spans="1:6" x14ac:dyDescent="0.3">
      <c r="A125" s="35" t="s">
        <v>371</v>
      </c>
      <c r="B125" s="108">
        <f>COUNTIF($A$102:A125,A125)</f>
        <v>24</v>
      </c>
      <c r="C125" s="36" t="s">
        <v>521</v>
      </c>
      <c r="D125" s="37">
        <v>17000000</v>
      </c>
      <c r="E125" s="37">
        <f>10201000+1500000+1900000+1700000+1700000</f>
        <v>17001000</v>
      </c>
      <c r="F125" s="37">
        <f t="shared" si="6"/>
        <v>-1000</v>
      </c>
    </row>
    <row r="126" spans="1:6" x14ac:dyDescent="0.3">
      <c r="A126" s="35" t="s">
        <v>371</v>
      </c>
      <c r="B126" s="108">
        <f>COUNTIF($A$102:A126,A126)</f>
        <v>25</v>
      </c>
      <c r="C126" s="36" t="s">
        <v>522</v>
      </c>
      <c r="D126" s="37">
        <v>17000000</v>
      </c>
      <c r="E126" s="37">
        <f>8539000+3400000+1800000+3260000+2000</f>
        <v>17001000</v>
      </c>
      <c r="F126" s="37">
        <f t="shared" si="6"/>
        <v>-1000</v>
      </c>
    </row>
    <row r="127" spans="1:6" x14ac:dyDescent="0.3">
      <c r="A127" s="35" t="s">
        <v>371</v>
      </c>
      <c r="B127" s="108">
        <f>COUNTIF($A$102:A127,A127)</f>
        <v>26</v>
      </c>
      <c r="C127" s="36" t="s">
        <v>523</v>
      </c>
      <c r="D127" s="37">
        <v>17000000</v>
      </c>
      <c r="E127" s="37">
        <f>12547250+1207000+2000000+1247000</f>
        <v>17001250</v>
      </c>
      <c r="F127" s="37">
        <f t="shared" si="6"/>
        <v>-1250</v>
      </c>
    </row>
    <row r="128" spans="1:6" x14ac:dyDescent="0.3">
      <c r="A128" s="35" t="s">
        <v>371</v>
      </c>
      <c r="B128" s="108">
        <f>COUNTIF($A$102:A128,A128)</f>
        <v>27</v>
      </c>
      <c r="C128" s="36" t="s">
        <v>524</v>
      </c>
      <c r="D128" s="37">
        <v>17000000</v>
      </c>
      <c r="E128" s="37">
        <f>8503000+2000000+2000000+1200000+1700000+1600000</f>
        <v>17003000</v>
      </c>
      <c r="F128" s="37">
        <f t="shared" si="6"/>
        <v>-3000</v>
      </c>
    </row>
    <row r="129" spans="1:6" x14ac:dyDescent="0.3">
      <c r="A129" s="35" t="s">
        <v>371</v>
      </c>
      <c r="B129" s="108">
        <f>COUNTIF($A$102:A129,A129)</f>
        <v>28</v>
      </c>
      <c r="C129" s="36" t="s">
        <v>525</v>
      </c>
      <c r="D129" s="37">
        <v>17000000</v>
      </c>
      <c r="E129" s="37">
        <f>8560000+1200000+1200000+3000000+3300000</f>
        <v>17260000</v>
      </c>
      <c r="F129" s="37">
        <f t="shared" si="6"/>
        <v>-260000</v>
      </c>
    </row>
    <row r="130" spans="1:6" x14ac:dyDescent="0.3">
      <c r="A130" s="35" t="s">
        <v>371</v>
      </c>
      <c r="B130" s="108">
        <f>COUNTIF($A$102:A130,A130)</f>
        <v>29</v>
      </c>
      <c r="C130" s="36" t="s">
        <v>526</v>
      </c>
      <c r="D130" s="37">
        <v>17000000</v>
      </c>
      <c r="E130" s="37">
        <f>8500000+2000000+2000000+2000000+1900000+2600000</f>
        <v>19000000</v>
      </c>
      <c r="F130" s="37">
        <f t="shared" si="6"/>
        <v>-2000000</v>
      </c>
    </row>
    <row r="131" spans="1:6" x14ac:dyDescent="0.3">
      <c r="A131" s="83"/>
      <c r="B131" s="84"/>
      <c r="C131" s="85" t="s">
        <v>358</v>
      </c>
      <c r="D131" s="86">
        <f>SUBTOTAL(109,Таблица14[Shu vaqtgacha bo''lishi kerak bo''lgan to''lov])</f>
        <v>1813050000</v>
      </c>
      <c r="E131" s="87">
        <f>SUBTOTAL(109,Таблица14[Jami])</f>
        <v>1797176641</v>
      </c>
      <c r="F131" s="86">
        <f t="array" aca="1" ref="F131" ca="1">SUMPRODUCT(SUBTOTAL(109,OFFSET(Таблица14[Shu vaqtgacha qarzi],ROW(Таблица14[Shu vaqtgacha qarzi])-MIN(ROW(Таблица14[Shu vaqtgacha qarzi])),0,1))*(Таблица14[Shu vaqtgacha qarzi]&gt;0))</f>
        <v>20970059</v>
      </c>
    </row>
  </sheetData>
  <autoFilter ref="C1:F1" xr:uid="{00000000-0009-0000-0000-000004000000}"/>
  <mergeCells count="1">
    <mergeCell ref="C19:D19"/>
  </mergeCells>
  <conditionalFormatting sqref="A22:C22">
    <cfRule type="duplicateValues" dxfId="291" priority="131"/>
    <cfRule type="duplicateValues" dxfId="290" priority="132"/>
    <cfRule type="duplicateValues" dxfId="289" priority="133"/>
  </conditionalFormatting>
  <conditionalFormatting sqref="C20:C101 C131:C1048576">
    <cfRule type="duplicateValues" dxfId="288" priority="45"/>
  </conditionalFormatting>
  <conditionalFormatting sqref="C22:C39 C41:C43 C45:C59 C61:C67 C69:C101 C132:C1048576">
    <cfRule type="duplicateValues" dxfId="287" priority="128"/>
    <cfRule type="duplicateValues" dxfId="286" priority="129"/>
    <cfRule type="duplicateValues" dxfId="285" priority="130"/>
  </conditionalFormatting>
  <conditionalFormatting sqref="C23:C101">
    <cfRule type="duplicateValues" dxfId="284" priority="5524"/>
    <cfRule type="duplicateValues" dxfId="283" priority="5525"/>
  </conditionalFormatting>
  <conditionalFormatting sqref="C102:C130">
    <cfRule type="duplicateValues" dxfId="282" priority="2"/>
    <cfRule type="duplicateValues" dxfId="281" priority="4"/>
    <cfRule type="duplicateValues" dxfId="280" priority="5"/>
    <cfRule type="duplicateValues" dxfId="279" priority="6"/>
    <cfRule type="duplicateValues" dxfId="278" priority="7"/>
    <cfRule type="duplicateValues" dxfId="277" priority="8"/>
  </conditionalFormatting>
  <conditionalFormatting sqref="F1 F19">
    <cfRule type="duplicateValues" dxfId="276" priority="39"/>
    <cfRule type="duplicateValues" dxfId="275" priority="44"/>
  </conditionalFormatting>
  <conditionalFormatting sqref="F5:F18">
    <cfRule type="cellIs" dxfId="274" priority="9" operator="equal">
      <formula>0</formula>
    </cfRule>
    <cfRule type="duplicateValues" dxfId="273" priority="23"/>
  </conditionalFormatting>
  <conditionalFormatting sqref="F23:F130">
    <cfRule type="cellIs" dxfId="272" priority="3" operator="greaterThan">
      <formula>0</formula>
    </cfRule>
  </conditionalFormatting>
  <conditionalFormatting sqref="F23:F131">
    <cfRule type="cellIs" dxfId="271" priority="1" operator="lessThan">
      <formula>1</formula>
    </cfRule>
  </conditionalFormatting>
  <conditionalFormatting sqref="G131:G1048576">
    <cfRule type="cellIs" dxfId="270" priority="127" operator="greaterThan">
      <formula>0</formula>
    </cfRule>
  </conditionalFormatting>
  <pageMargins left="0.42" right="0.16" top="0.2" bottom="0.2" header="0.2" footer="0.2"/>
  <pageSetup paperSize="9" scale="37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57"/>
  <sheetViews>
    <sheetView topLeftCell="A6" workbookViewId="0">
      <selection activeCell="G19" sqref="G19"/>
    </sheetView>
  </sheetViews>
  <sheetFormatPr defaultColWidth="8.85546875" defaultRowHeight="15" x14ac:dyDescent="0.25"/>
  <cols>
    <col min="2" max="2" width="18" bestFit="1" customWidth="1"/>
    <col min="3" max="3" width="14.85546875" bestFit="1" customWidth="1"/>
    <col min="4" max="4" width="12.28515625" bestFit="1" customWidth="1"/>
  </cols>
  <sheetData>
    <row r="1" spans="2:3" x14ac:dyDescent="0.25">
      <c r="C1" s="3">
        <f ca="1">TODAY()</f>
        <v>46298</v>
      </c>
    </row>
    <row r="2" spans="2:3" x14ac:dyDescent="0.25">
      <c r="B2" t="s">
        <v>2</v>
      </c>
      <c r="C2" s="2" t="e">
        <f>SUM(#REF!)</f>
        <v>#REF!</v>
      </c>
    </row>
    <row r="3" spans="2:3" x14ac:dyDescent="0.25">
      <c r="B3" t="s">
        <v>527</v>
      </c>
      <c r="C3" s="2">
        <f>COUNT(#REF!)</f>
        <v>0</v>
      </c>
    </row>
    <row r="4" spans="2:3" x14ac:dyDescent="0.25">
      <c r="B4" t="s">
        <v>528</v>
      </c>
      <c r="C4" s="2" t="e">
        <f>SUM(#REF!)</f>
        <v>#REF!</v>
      </c>
    </row>
    <row r="5" spans="2:3" x14ac:dyDescent="0.25">
      <c r="B5" t="s">
        <v>529</v>
      </c>
      <c r="C5" s="2" t="e">
        <f>SUM(#REF!)</f>
        <v>#REF!</v>
      </c>
    </row>
    <row r="6" spans="2:3" x14ac:dyDescent="0.25">
      <c r="B6" t="s">
        <v>530</v>
      </c>
      <c r="C6" s="2" t="e">
        <f>SUM(#REF!)</f>
        <v>#REF!</v>
      </c>
    </row>
    <row r="18" spans="2:6" ht="45.75" customHeight="1" thickBot="1" x14ac:dyDescent="0.3">
      <c r="B18" s="4" t="s">
        <v>531</v>
      </c>
      <c r="C18" s="4" t="s">
        <v>528</v>
      </c>
      <c r="D18" s="4" t="s">
        <v>532</v>
      </c>
      <c r="E18" s="8" t="s">
        <v>533</v>
      </c>
    </row>
    <row r="19" spans="2:6" x14ac:dyDescent="0.25">
      <c r="B19" s="5">
        <v>101</v>
      </c>
      <c r="C19" s="7" t="e">
        <f>#REF!</f>
        <v>#REF!</v>
      </c>
      <c r="D19" s="7" t="e">
        <f>#REF!</f>
        <v>#REF!</v>
      </c>
      <c r="E19" s="9" t="e">
        <f t="shared" ref="E19:E57" si="0">C19/D19</f>
        <v>#REF!</v>
      </c>
      <c r="F19" t="e">
        <f t="shared" ref="F19:F35" si="1">IF(E19&gt;99%,"✔","☹")</f>
        <v>#REF!</v>
      </c>
    </row>
    <row r="20" spans="2:6" x14ac:dyDescent="0.25">
      <c r="B20" s="6">
        <v>102</v>
      </c>
      <c r="C20" s="7" t="e">
        <f>#REF!</f>
        <v>#REF!</v>
      </c>
      <c r="D20" s="7" t="e">
        <f>#REF!</f>
        <v>#REF!</v>
      </c>
      <c r="E20" s="9" t="e">
        <f t="shared" si="0"/>
        <v>#REF!</v>
      </c>
      <c r="F20" t="e">
        <f t="shared" si="1"/>
        <v>#REF!</v>
      </c>
    </row>
    <row r="21" spans="2:6" x14ac:dyDescent="0.25">
      <c r="B21" s="5">
        <v>103</v>
      </c>
      <c r="C21" s="7" t="e">
        <f>#REF!</f>
        <v>#REF!</v>
      </c>
      <c r="D21" s="7" t="e">
        <f>#REF!</f>
        <v>#REF!</v>
      </c>
      <c r="E21" s="9" t="e">
        <f t="shared" si="0"/>
        <v>#REF!</v>
      </c>
      <c r="F21" t="e">
        <f t="shared" si="1"/>
        <v>#REF!</v>
      </c>
    </row>
    <row r="22" spans="2:6" x14ac:dyDescent="0.25">
      <c r="B22" s="6">
        <v>104</v>
      </c>
      <c r="C22" s="7" t="e">
        <f>#REF!</f>
        <v>#REF!</v>
      </c>
      <c r="D22" s="7" t="e">
        <f>#REF!</f>
        <v>#REF!</v>
      </c>
      <c r="E22" s="9" t="e">
        <f t="shared" si="0"/>
        <v>#REF!</v>
      </c>
      <c r="F22" t="e">
        <f t="shared" si="1"/>
        <v>#REF!</v>
      </c>
    </row>
    <row r="23" spans="2:6" x14ac:dyDescent="0.25">
      <c r="B23" s="5">
        <v>105</v>
      </c>
      <c r="C23" s="7" t="e">
        <f>#REF!</f>
        <v>#REF!</v>
      </c>
      <c r="D23" s="7" t="e">
        <f>#REF!</f>
        <v>#REF!</v>
      </c>
      <c r="E23" s="9" t="e">
        <f t="shared" si="0"/>
        <v>#REF!</v>
      </c>
      <c r="F23" t="e">
        <f t="shared" si="1"/>
        <v>#REF!</v>
      </c>
    </row>
    <row r="24" spans="2:6" x14ac:dyDescent="0.25">
      <c r="B24" s="6">
        <v>106</v>
      </c>
      <c r="C24" s="7" t="e">
        <f>#REF!</f>
        <v>#REF!</v>
      </c>
      <c r="D24" s="7" t="e">
        <f>#REF!</f>
        <v>#REF!</v>
      </c>
      <c r="E24" s="9" t="e">
        <f t="shared" si="0"/>
        <v>#REF!</v>
      </c>
      <c r="F24" t="e">
        <f t="shared" si="1"/>
        <v>#REF!</v>
      </c>
    </row>
    <row r="25" spans="2:6" x14ac:dyDescent="0.25">
      <c r="B25" s="5">
        <v>107</v>
      </c>
      <c r="C25" s="7" t="e">
        <f>#REF!</f>
        <v>#REF!</v>
      </c>
      <c r="D25" s="7" t="e">
        <f>#REF!</f>
        <v>#REF!</v>
      </c>
      <c r="E25" s="9" t="e">
        <f t="shared" si="0"/>
        <v>#REF!</v>
      </c>
      <c r="F25" t="e">
        <f t="shared" si="1"/>
        <v>#REF!</v>
      </c>
    </row>
    <row r="26" spans="2:6" x14ac:dyDescent="0.25">
      <c r="B26" s="6">
        <v>108</v>
      </c>
      <c r="C26" s="7" t="e">
        <f>#REF!</f>
        <v>#REF!</v>
      </c>
      <c r="D26" s="7" t="e">
        <f>#REF!</f>
        <v>#REF!</v>
      </c>
      <c r="E26" s="9" t="e">
        <f t="shared" si="0"/>
        <v>#REF!</v>
      </c>
      <c r="F26" t="e">
        <f t="shared" si="1"/>
        <v>#REF!</v>
      </c>
    </row>
    <row r="27" spans="2:6" x14ac:dyDescent="0.25">
      <c r="B27" s="5">
        <v>113</v>
      </c>
      <c r="C27" s="7" t="e">
        <f>#REF!</f>
        <v>#REF!</v>
      </c>
      <c r="D27" s="7" t="e">
        <f>#REF!</f>
        <v>#REF!</v>
      </c>
      <c r="E27" s="9" t="e">
        <f t="shared" si="0"/>
        <v>#REF!</v>
      </c>
      <c r="F27" t="e">
        <f t="shared" si="1"/>
        <v>#REF!</v>
      </c>
    </row>
    <row r="28" spans="2:6" x14ac:dyDescent="0.25">
      <c r="B28" s="6">
        <v>114</v>
      </c>
      <c r="C28" s="7" t="e">
        <f>#REF!</f>
        <v>#REF!</v>
      </c>
      <c r="D28" s="7" t="e">
        <f>#REF!</f>
        <v>#REF!</v>
      </c>
      <c r="E28" s="9" t="e">
        <f t="shared" si="0"/>
        <v>#REF!</v>
      </c>
      <c r="F28" t="e">
        <f t="shared" si="1"/>
        <v>#REF!</v>
      </c>
    </row>
    <row r="29" spans="2:6" x14ac:dyDescent="0.25">
      <c r="B29" s="5">
        <v>115</v>
      </c>
      <c r="C29" s="7" t="e">
        <f>#REF!</f>
        <v>#REF!</v>
      </c>
      <c r="D29" s="7" t="e">
        <f>#REF!</f>
        <v>#REF!</v>
      </c>
      <c r="E29" s="9" t="e">
        <f t="shared" si="0"/>
        <v>#REF!</v>
      </c>
      <c r="F29" t="e">
        <f t="shared" si="1"/>
        <v>#REF!</v>
      </c>
    </row>
    <row r="30" spans="2:6" x14ac:dyDescent="0.25">
      <c r="B30" s="6">
        <v>116</v>
      </c>
      <c r="C30" s="7" t="e">
        <f>#REF!</f>
        <v>#REF!</v>
      </c>
      <c r="D30" s="7" t="e">
        <f>#REF!</f>
        <v>#REF!</v>
      </c>
      <c r="E30" s="9" t="e">
        <f t="shared" si="0"/>
        <v>#REF!</v>
      </c>
      <c r="F30" t="e">
        <f t="shared" si="1"/>
        <v>#REF!</v>
      </c>
    </row>
    <row r="31" spans="2:6" x14ac:dyDescent="0.25">
      <c r="B31" s="5">
        <v>201</v>
      </c>
      <c r="C31" s="7" t="e">
        <f>#REF!</f>
        <v>#REF!</v>
      </c>
      <c r="D31" s="7" t="e">
        <f>#REF!</f>
        <v>#REF!</v>
      </c>
      <c r="E31" s="9" t="e">
        <f t="shared" si="0"/>
        <v>#REF!</v>
      </c>
      <c r="F31" t="e">
        <f t="shared" si="1"/>
        <v>#REF!</v>
      </c>
    </row>
    <row r="32" spans="2:6" x14ac:dyDescent="0.25">
      <c r="B32" s="6">
        <v>202</v>
      </c>
      <c r="C32" s="7" t="e">
        <f>#REF!</f>
        <v>#REF!</v>
      </c>
      <c r="D32" s="7" t="e">
        <f>#REF!</f>
        <v>#REF!</v>
      </c>
      <c r="E32" s="9" t="e">
        <f t="shared" si="0"/>
        <v>#REF!</v>
      </c>
      <c r="F32" t="e">
        <f t="shared" si="1"/>
        <v>#REF!</v>
      </c>
    </row>
    <row r="33" spans="2:6" x14ac:dyDescent="0.25">
      <c r="B33" s="5">
        <v>203</v>
      </c>
      <c r="C33" s="7" t="e">
        <f>#REF!</f>
        <v>#REF!</v>
      </c>
      <c r="D33" s="7" t="e">
        <f>#REF!</f>
        <v>#REF!</v>
      </c>
      <c r="E33" s="9" t="e">
        <f t="shared" si="0"/>
        <v>#REF!</v>
      </c>
      <c r="F33" t="e">
        <f t="shared" si="1"/>
        <v>#REF!</v>
      </c>
    </row>
    <row r="34" spans="2:6" x14ac:dyDescent="0.25">
      <c r="B34" s="6">
        <v>204</v>
      </c>
      <c r="C34" s="7" t="e">
        <f>#REF!</f>
        <v>#REF!</v>
      </c>
      <c r="D34" s="7" t="e">
        <f>#REF!</f>
        <v>#REF!</v>
      </c>
      <c r="E34" s="9" t="e">
        <f t="shared" si="0"/>
        <v>#REF!</v>
      </c>
      <c r="F34" t="e">
        <f t="shared" si="1"/>
        <v>#REF!</v>
      </c>
    </row>
    <row r="35" spans="2:6" x14ac:dyDescent="0.25">
      <c r="B35" s="5">
        <v>205</v>
      </c>
      <c r="C35" s="7" t="e">
        <f>#REF!</f>
        <v>#REF!</v>
      </c>
      <c r="D35" s="7" t="e">
        <f>#REF!</f>
        <v>#REF!</v>
      </c>
      <c r="E35" s="9" t="e">
        <f t="shared" si="0"/>
        <v>#REF!</v>
      </c>
      <c r="F35" t="e">
        <f t="shared" si="1"/>
        <v>#REF!</v>
      </c>
    </row>
    <row r="36" spans="2:6" x14ac:dyDescent="0.25">
      <c r="B36" s="6"/>
      <c r="C36" s="7" t="e">
        <f>#REF!</f>
        <v>#REF!</v>
      </c>
      <c r="D36" s="7" t="e">
        <f>#REF!</f>
        <v>#REF!</v>
      </c>
      <c r="E36" s="9" t="e">
        <f t="shared" si="0"/>
        <v>#REF!</v>
      </c>
      <c r="F36" t="e">
        <f t="shared" ref="F36:F57" si="2">IF(E36&gt;99%,"✔","-")</f>
        <v>#REF!</v>
      </c>
    </row>
    <row r="37" spans="2:6" x14ac:dyDescent="0.25">
      <c r="B37" s="5"/>
      <c r="C37" s="7" t="e">
        <f>#REF!</f>
        <v>#REF!</v>
      </c>
      <c r="D37" s="7" t="e">
        <f>#REF!</f>
        <v>#REF!</v>
      </c>
      <c r="E37" s="9" t="e">
        <f t="shared" si="0"/>
        <v>#REF!</v>
      </c>
      <c r="F37" t="e">
        <f t="shared" si="2"/>
        <v>#REF!</v>
      </c>
    </row>
    <row r="38" spans="2:6" x14ac:dyDescent="0.25">
      <c r="B38" s="6"/>
      <c r="C38" s="7" t="e">
        <f>#REF!</f>
        <v>#REF!</v>
      </c>
      <c r="D38" s="7" t="e">
        <f>#REF!</f>
        <v>#REF!</v>
      </c>
      <c r="E38" s="9" t="e">
        <f t="shared" si="0"/>
        <v>#REF!</v>
      </c>
      <c r="F38" t="e">
        <f t="shared" si="2"/>
        <v>#REF!</v>
      </c>
    </row>
    <row r="39" spans="2:6" x14ac:dyDescent="0.25">
      <c r="B39" s="5"/>
      <c r="C39" s="7" t="e">
        <f>#REF!</f>
        <v>#REF!</v>
      </c>
      <c r="D39" s="7" t="e">
        <f>#REF!</f>
        <v>#REF!</v>
      </c>
      <c r="E39" s="9" t="e">
        <f t="shared" si="0"/>
        <v>#REF!</v>
      </c>
      <c r="F39" t="e">
        <f t="shared" si="2"/>
        <v>#REF!</v>
      </c>
    </row>
    <row r="40" spans="2:6" x14ac:dyDescent="0.25">
      <c r="B40" s="6"/>
      <c r="C40" s="7" t="e">
        <f>#REF!</f>
        <v>#REF!</v>
      </c>
      <c r="D40" s="7" t="e">
        <f>#REF!</f>
        <v>#REF!</v>
      </c>
      <c r="E40" s="9" t="e">
        <f t="shared" si="0"/>
        <v>#REF!</v>
      </c>
      <c r="F40" t="e">
        <f t="shared" si="2"/>
        <v>#REF!</v>
      </c>
    </row>
    <row r="41" spans="2:6" x14ac:dyDescent="0.25">
      <c r="B41" s="5"/>
      <c r="C41" s="7" t="e">
        <f>#REF!</f>
        <v>#REF!</v>
      </c>
      <c r="D41" s="7" t="e">
        <f>#REF!</f>
        <v>#REF!</v>
      </c>
      <c r="E41" s="9" t="e">
        <f t="shared" si="0"/>
        <v>#REF!</v>
      </c>
      <c r="F41" t="e">
        <f t="shared" si="2"/>
        <v>#REF!</v>
      </c>
    </row>
    <row r="42" spans="2:6" x14ac:dyDescent="0.25">
      <c r="B42" s="6"/>
      <c r="C42" s="7" t="e">
        <f>#REF!</f>
        <v>#REF!</v>
      </c>
      <c r="D42" s="7" t="e">
        <f>#REF!</f>
        <v>#REF!</v>
      </c>
      <c r="E42" s="9" t="e">
        <f t="shared" si="0"/>
        <v>#REF!</v>
      </c>
      <c r="F42" t="e">
        <f t="shared" si="2"/>
        <v>#REF!</v>
      </c>
    </row>
    <row r="43" spans="2:6" x14ac:dyDescent="0.25">
      <c r="B43" s="5"/>
      <c r="C43" s="7" t="e">
        <f>#REF!</f>
        <v>#REF!</v>
      </c>
      <c r="D43" s="7" t="e">
        <f>#REF!</f>
        <v>#REF!</v>
      </c>
      <c r="E43" s="9" t="e">
        <f t="shared" si="0"/>
        <v>#REF!</v>
      </c>
      <c r="F43" t="e">
        <f t="shared" si="2"/>
        <v>#REF!</v>
      </c>
    </row>
    <row r="44" spans="2:6" x14ac:dyDescent="0.25">
      <c r="B44" s="6"/>
      <c r="C44" s="7" t="e">
        <f>#REF!</f>
        <v>#REF!</v>
      </c>
      <c r="D44" s="7" t="e">
        <f>#REF!</f>
        <v>#REF!</v>
      </c>
      <c r="E44" s="9" t="e">
        <f t="shared" si="0"/>
        <v>#REF!</v>
      </c>
      <c r="F44" t="e">
        <f t="shared" si="2"/>
        <v>#REF!</v>
      </c>
    </row>
    <row r="45" spans="2:6" x14ac:dyDescent="0.25">
      <c r="B45" s="5"/>
      <c r="C45" s="7" t="e">
        <f>#REF!</f>
        <v>#REF!</v>
      </c>
      <c r="D45" s="7" t="e">
        <f>#REF!</f>
        <v>#REF!</v>
      </c>
      <c r="E45" s="9" t="e">
        <f t="shared" si="0"/>
        <v>#REF!</v>
      </c>
      <c r="F45" t="e">
        <f t="shared" si="2"/>
        <v>#REF!</v>
      </c>
    </row>
    <row r="46" spans="2:6" x14ac:dyDescent="0.25">
      <c r="B46" s="6"/>
      <c r="C46" s="7" t="e">
        <f>#REF!</f>
        <v>#REF!</v>
      </c>
      <c r="D46" s="7" t="e">
        <f>#REF!</f>
        <v>#REF!</v>
      </c>
      <c r="E46" s="9" t="e">
        <f t="shared" si="0"/>
        <v>#REF!</v>
      </c>
      <c r="F46" t="e">
        <f t="shared" si="2"/>
        <v>#REF!</v>
      </c>
    </row>
    <row r="47" spans="2:6" x14ac:dyDescent="0.25">
      <c r="B47" s="5"/>
      <c r="C47" s="7" t="e">
        <f>#REF!</f>
        <v>#REF!</v>
      </c>
      <c r="D47" s="7" t="e">
        <f>#REF!</f>
        <v>#REF!</v>
      </c>
      <c r="E47" s="9" t="e">
        <f t="shared" si="0"/>
        <v>#REF!</v>
      </c>
      <c r="F47" t="e">
        <f t="shared" si="2"/>
        <v>#REF!</v>
      </c>
    </row>
    <row r="48" spans="2:6" x14ac:dyDescent="0.25">
      <c r="B48" s="6"/>
      <c r="C48" s="7" t="e">
        <f>#REF!</f>
        <v>#REF!</v>
      </c>
      <c r="D48" s="7" t="e">
        <f>#REF!</f>
        <v>#REF!</v>
      </c>
      <c r="E48" s="9" t="e">
        <f t="shared" si="0"/>
        <v>#REF!</v>
      </c>
      <c r="F48" t="e">
        <f t="shared" si="2"/>
        <v>#REF!</v>
      </c>
    </row>
    <row r="49" spans="2:6" x14ac:dyDescent="0.25">
      <c r="B49" s="5"/>
      <c r="C49" s="7" t="e">
        <f>#REF!</f>
        <v>#REF!</v>
      </c>
      <c r="D49" s="7" t="e">
        <f>#REF!</f>
        <v>#REF!</v>
      </c>
      <c r="E49" s="9" t="e">
        <f t="shared" si="0"/>
        <v>#REF!</v>
      </c>
      <c r="F49" t="e">
        <f t="shared" si="2"/>
        <v>#REF!</v>
      </c>
    </row>
    <row r="50" spans="2:6" x14ac:dyDescent="0.25">
      <c r="B50" s="6"/>
      <c r="C50" s="7" t="e">
        <f>#REF!</f>
        <v>#REF!</v>
      </c>
      <c r="D50" s="7" t="e">
        <f>#REF!</f>
        <v>#REF!</v>
      </c>
      <c r="E50" s="9" t="e">
        <f t="shared" si="0"/>
        <v>#REF!</v>
      </c>
      <c r="F50" t="e">
        <f t="shared" si="2"/>
        <v>#REF!</v>
      </c>
    </row>
    <row r="51" spans="2:6" x14ac:dyDescent="0.25">
      <c r="B51" s="5"/>
      <c r="C51" s="7" t="e">
        <f>#REF!</f>
        <v>#REF!</v>
      </c>
      <c r="D51" s="7" t="e">
        <f>#REF!</f>
        <v>#REF!</v>
      </c>
      <c r="E51" s="9" t="e">
        <f t="shared" si="0"/>
        <v>#REF!</v>
      </c>
      <c r="F51" t="e">
        <f t="shared" si="2"/>
        <v>#REF!</v>
      </c>
    </row>
    <row r="52" spans="2:6" x14ac:dyDescent="0.25">
      <c r="B52" s="6"/>
      <c r="C52" s="7" t="e">
        <f>#REF!</f>
        <v>#REF!</v>
      </c>
      <c r="D52" s="7" t="e">
        <f>#REF!</f>
        <v>#REF!</v>
      </c>
      <c r="E52" s="9" t="e">
        <f t="shared" si="0"/>
        <v>#REF!</v>
      </c>
      <c r="F52" t="e">
        <f t="shared" si="2"/>
        <v>#REF!</v>
      </c>
    </row>
    <row r="53" spans="2:6" x14ac:dyDescent="0.25">
      <c r="B53" s="5"/>
      <c r="C53" s="7" t="e">
        <f>#REF!</f>
        <v>#REF!</v>
      </c>
      <c r="D53" s="7" t="e">
        <f>#REF!</f>
        <v>#REF!</v>
      </c>
      <c r="E53" s="9" t="e">
        <f t="shared" si="0"/>
        <v>#REF!</v>
      </c>
      <c r="F53" t="e">
        <f t="shared" si="2"/>
        <v>#REF!</v>
      </c>
    </row>
    <row r="54" spans="2:6" x14ac:dyDescent="0.25">
      <c r="B54" s="6"/>
      <c r="C54" s="7" t="e">
        <f>#REF!</f>
        <v>#REF!</v>
      </c>
      <c r="D54" s="7" t="e">
        <f>#REF!</f>
        <v>#REF!</v>
      </c>
      <c r="E54" s="9" t="e">
        <f t="shared" si="0"/>
        <v>#REF!</v>
      </c>
      <c r="F54" t="e">
        <f t="shared" si="2"/>
        <v>#REF!</v>
      </c>
    </row>
    <row r="55" spans="2:6" x14ac:dyDescent="0.25">
      <c r="B55" s="5"/>
      <c r="C55" s="7" t="e">
        <f>#REF!</f>
        <v>#REF!</v>
      </c>
      <c r="D55" s="7" t="e">
        <f>#REF!</f>
        <v>#REF!</v>
      </c>
      <c r="E55" s="9" t="e">
        <f t="shared" si="0"/>
        <v>#REF!</v>
      </c>
      <c r="F55" t="e">
        <f t="shared" si="2"/>
        <v>#REF!</v>
      </c>
    </row>
    <row r="56" spans="2:6" x14ac:dyDescent="0.25">
      <c r="B56" s="6"/>
      <c r="C56" s="7" t="e">
        <f>#REF!</f>
        <v>#REF!</v>
      </c>
      <c r="D56" s="7" t="e">
        <f>#REF!</f>
        <v>#REF!</v>
      </c>
      <c r="E56" s="9" t="e">
        <f t="shared" si="0"/>
        <v>#REF!</v>
      </c>
      <c r="F56" t="e">
        <f t="shared" si="2"/>
        <v>#REF!</v>
      </c>
    </row>
    <row r="57" spans="2:6" x14ac:dyDescent="0.25">
      <c r="B57" s="5"/>
      <c r="C57" s="7" t="e">
        <f>#REF!</f>
        <v>#REF!</v>
      </c>
      <c r="D57" s="7" t="e">
        <f>#REF!</f>
        <v>#REF!</v>
      </c>
      <c r="E57" s="9" t="e">
        <f t="shared" si="0"/>
        <v>#REF!</v>
      </c>
      <c r="F57" t="e">
        <f t="shared" si="2"/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workbookViewId="0">
      <selection activeCell="A28" sqref="A28:H28"/>
    </sheetView>
  </sheetViews>
  <sheetFormatPr defaultColWidth="8.85546875" defaultRowHeight="15" x14ac:dyDescent="0.25"/>
  <cols>
    <col min="1" max="1" width="45.85546875" customWidth="1"/>
    <col min="2" max="2" width="12.140625" customWidth="1"/>
    <col min="3" max="3" width="16.85546875" customWidth="1"/>
    <col min="4" max="4" width="15" customWidth="1"/>
    <col min="5" max="5" width="15.42578125" customWidth="1"/>
    <col min="6" max="6" width="13.28515625" customWidth="1"/>
    <col min="7" max="7" width="13.85546875" customWidth="1"/>
    <col min="8" max="8" width="13.42578125" customWidth="1"/>
    <col min="9" max="9" width="9.140625" customWidth="1"/>
  </cols>
  <sheetData>
    <row r="1" spans="1:8" x14ac:dyDescent="0.25">
      <c r="A1" s="13" t="s">
        <v>534</v>
      </c>
      <c r="B1" s="14">
        <v>114</v>
      </c>
      <c r="C1" s="15">
        <v>8500000</v>
      </c>
      <c r="D1" s="15">
        <v>0</v>
      </c>
      <c r="E1" s="16" t="e">
        <f>SUMIFS(#REF!,#REF!,$A1,#REF!,1)</f>
        <v>#REF!</v>
      </c>
      <c r="F1" s="16" t="e">
        <f>SUMIFS(#REF!,#REF!,$A1,#REF!,2)</f>
        <v>#REF!</v>
      </c>
      <c r="G1" s="16" t="e">
        <f>#REF!-#REF!</f>
        <v>#REF!</v>
      </c>
      <c r="H1" s="17" t="e">
        <f>Таблица1[[#This Row],[Shu vaqtgacha bo''lishi kerak bo''lgan to''lov]]-#REF!</f>
        <v>#VALUE!</v>
      </c>
    </row>
    <row r="2" spans="1:8" x14ac:dyDescent="0.25">
      <c r="A2" s="10" t="s">
        <v>535</v>
      </c>
      <c r="B2" s="14">
        <v>108</v>
      </c>
      <c r="C2" s="18">
        <v>0</v>
      </c>
      <c r="D2" s="18">
        <v>8500000</v>
      </c>
      <c r="E2" s="19" t="e">
        <f>SUMIFS(#REF!,#REF!,$A2,#REF!,1)</f>
        <v>#REF!</v>
      </c>
      <c r="F2" s="19" t="e">
        <f>SUMIFS(#REF!,#REF!,$A2,#REF!,2)</f>
        <v>#REF!</v>
      </c>
      <c r="G2" s="19" t="e">
        <f>#REF!-#REF!</f>
        <v>#REF!</v>
      </c>
      <c r="H2" s="20" t="e">
        <f>Таблица1[[#This Row],[Shu vaqtgacha bo''lishi kerak bo''lgan to''lov]]-#REF!</f>
        <v>#VALUE!</v>
      </c>
    </row>
    <row r="3" spans="1:8" x14ac:dyDescent="0.25">
      <c r="A3" s="13" t="s">
        <v>536</v>
      </c>
      <c r="B3" s="14">
        <v>116</v>
      </c>
      <c r="C3" s="21">
        <v>8500000</v>
      </c>
      <c r="D3" s="21">
        <v>8500000</v>
      </c>
      <c r="E3" s="16" t="e">
        <f>SUMIFS(#REF!,#REF!,$A3,#REF!,1)</f>
        <v>#REF!</v>
      </c>
      <c r="F3" s="16" t="e">
        <f>SUMIFS(#REF!,#REF!,$A3,#REF!,2)</f>
        <v>#REF!</v>
      </c>
      <c r="G3" s="16" t="e">
        <f>#REF!-#REF!</f>
        <v>#REF!</v>
      </c>
      <c r="H3" s="17" t="e">
        <f>Таблица1[[#This Row],[Shu vaqtgacha bo''lishi kerak bo''lgan to''lov]]-#REF!</f>
        <v>#VALUE!</v>
      </c>
    </row>
    <row r="4" spans="1:8" x14ac:dyDescent="0.25">
      <c r="A4" s="10" t="s">
        <v>537</v>
      </c>
      <c r="B4" s="14">
        <v>114</v>
      </c>
      <c r="C4" s="18">
        <v>0</v>
      </c>
      <c r="D4" s="18">
        <v>8500000</v>
      </c>
      <c r="E4" s="19" t="e">
        <f>SUMIFS(#REF!,#REF!,$A4,#REF!,1)</f>
        <v>#REF!</v>
      </c>
      <c r="F4" s="19" t="e">
        <f>SUMIFS(#REF!,#REF!,$A4,#REF!,2)</f>
        <v>#REF!</v>
      </c>
      <c r="G4" s="19" t="e">
        <f>#REF!-#REF!</f>
        <v>#REF!</v>
      </c>
      <c r="H4" s="20" t="e">
        <f>Таблица1[[#This Row],[Shu vaqtgacha bo''lishi kerak bo''lgan to''lov]]-#REF!</f>
        <v>#VALUE!</v>
      </c>
    </row>
    <row r="5" spans="1:8" x14ac:dyDescent="0.25">
      <c r="A5" s="13" t="s">
        <v>466</v>
      </c>
      <c r="B5" s="14">
        <v>108</v>
      </c>
      <c r="C5" s="15">
        <v>0</v>
      </c>
      <c r="D5" s="15">
        <v>8500000</v>
      </c>
      <c r="E5" s="16" t="e">
        <f>SUMIFS(#REF!,#REF!,$A5,#REF!,1)</f>
        <v>#REF!</v>
      </c>
      <c r="F5" s="16" t="e">
        <f>SUMIFS(#REF!,#REF!,$A5,#REF!,2)</f>
        <v>#REF!</v>
      </c>
      <c r="G5" s="16" t="e">
        <f>#REF!-#REF!</f>
        <v>#REF!</v>
      </c>
      <c r="H5" s="17" t="e">
        <f>Таблица1[[#This Row],[Shu vaqtgacha bo''lishi kerak bo''lgan to''lov]]-#REF!</f>
        <v>#VALUE!</v>
      </c>
    </row>
    <row r="6" spans="1:8" x14ac:dyDescent="0.25">
      <c r="A6" s="10" t="s">
        <v>538</v>
      </c>
      <c r="B6" s="14">
        <v>108</v>
      </c>
      <c r="C6" s="18">
        <v>0</v>
      </c>
      <c r="D6" s="18">
        <v>10750000</v>
      </c>
      <c r="E6" s="19" t="e">
        <f>SUMIFS(#REF!,#REF!,$A6,#REF!,1)</f>
        <v>#REF!</v>
      </c>
      <c r="F6" s="19" t="e">
        <f>SUMIFS(#REF!,#REF!,$A6,#REF!,2)</f>
        <v>#REF!</v>
      </c>
      <c r="G6" s="19" t="e">
        <f>#REF!-#REF!</f>
        <v>#REF!</v>
      </c>
      <c r="H6" s="20" t="e">
        <f>Таблица1[[#This Row],[Shu vaqtgacha bo''lishi kerak bo''lgan to''lov]]-#REF!</f>
        <v>#VALUE!</v>
      </c>
    </row>
    <row r="7" spans="1:8" x14ac:dyDescent="0.25">
      <c r="A7" s="13" t="s">
        <v>539</v>
      </c>
      <c r="B7" s="14">
        <v>116</v>
      </c>
      <c r="C7" s="15">
        <v>8500000</v>
      </c>
      <c r="D7" s="15">
        <v>0</v>
      </c>
      <c r="E7" s="16" t="e">
        <f>SUMIFS(#REF!,#REF!,$A7,#REF!,1)</f>
        <v>#REF!</v>
      </c>
      <c r="F7" s="16" t="e">
        <f>SUMIFS(#REF!,#REF!,$A7,#REF!,2)</f>
        <v>#REF!</v>
      </c>
      <c r="G7" s="16" t="e">
        <f>#REF!-#REF!</f>
        <v>#REF!</v>
      </c>
      <c r="H7" s="17" t="e">
        <f>Таблица1[[#This Row],[Shu vaqtgacha bo''lishi kerak bo''lgan to''lov]]-#REF!</f>
        <v>#VALUE!</v>
      </c>
    </row>
    <row r="8" spans="1:8" x14ac:dyDescent="0.25">
      <c r="A8" s="10" t="s">
        <v>540</v>
      </c>
      <c r="B8" s="14">
        <v>102</v>
      </c>
      <c r="C8" s="18">
        <v>0</v>
      </c>
      <c r="D8" s="18">
        <v>8500000</v>
      </c>
      <c r="E8" s="19" t="e">
        <f>SUMIFS(#REF!,#REF!,$A8,#REF!,1)</f>
        <v>#REF!</v>
      </c>
      <c r="F8" s="19" t="e">
        <f>SUMIFS(#REF!,#REF!,$A8,#REF!,2)</f>
        <v>#REF!</v>
      </c>
      <c r="G8" s="19" t="e">
        <f>#REF!-#REF!</f>
        <v>#REF!</v>
      </c>
      <c r="H8" s="20" t="e">
        <f>Таблица1[[#This Row],[Shu vaqtgacha bo''lishi kerak bo''lgan to''lov]]-#REF!</f>
        <v>#VALUE!</v>
      </c>
    </row>
    <row r="9" spans="1:8" x14ac:dyDescent="0.25">
      <c r="A9" s="13" t="s">
        <v>541</v>
      </c>
      <c r="B9" s="14">
        <v>114</v>
      </c>
      <c r="C9" s="15">
        <v>8500000</v>
      </c>
      <c r="D9" s="15">
        <v>0</v>
      </c>
      <c r="E9" s="16" t="e">
        <f>SUMIFS(#REF!,#REF!,$A9,#REF!,1)</f>
        <v>#REF!</v>
      </c>
      <c r="F9" s="16" t="e">
        <f>SUMIFS(#REF!,#REF!,$A9,#REF!,2)</f>
        <v>#REF!</v>
      </c>
      <c r="G9" s="16" t="e">
        <f>#REF!-#REF!</f>
        <v>#REF!</v>
      </c>
      <c r="H9" s="17" t="e">
        <f>Таблица1[[#This Row],[Shu vaqtgacha bo''lishi kerak bo''lgan to''lov]]-#REF!</f>
        <v>#VALUE!</v>
      </c>
    </row>
    <row r="10" spans="1:8" x14ac:dyDescent="0.25">
      <c r="A10" s="10" t="s">
        <v>542</v>
      </c>
      <c r="B10" s="14">
        <v>115</v>
      </c>
      <c r="C10" s="22">
        <v>8500000</v>
      </c>
      <c r="D10" s="22">
        <v>8500000</v>
      </c>
      <c r="E10" s="19" t="e">
        <f>SUMIFS(#REF!,#REF!,$A10,#REF!,1)</f>
        <v>#REF!</v>
      </c>
      <c r="F10" s="19" t="e">
        <f>SUMIFS(#REF!,#REF!,$A10,#REF!,2)</f>
        <v>#REF!</v>
      </c>
      <c r="G10" s="19" t="e">
        <f>#REF!-#REF!</f>
        <v>#REF!</v>
      </c>
      <c r="H10" s="20" t="e">
        <f>Таблица1[[#This Row],[Shu vaqtgacha bo''lishi kerak bo''lgan to''lov]]-#REF!</f>
        <v>#VALUE!</v>
      </c>
    </row>
    <row r="11" spans="1:8" x14ac:dyDescent="0.25">
      <c r="A11" s="13" t="s">
        <v>543</v>
      </c>
      <c r="B11" s="14">
        <v>203</v>
      </c>
      <c r="C11" s="15">
        <v>8500000</v>
      </c>
      <c r="D11" s="15">
        <v>0</v>
      </c>
      <c r="E11" s="16" t="e">
        <f>SUMIFS(#REF!,#REF!,$A11,#REF!,1)</f>
        <v>#REF!</v>
      </c>
      <c r="F11" s="16" t="e">
        <f>SUMIFS(#REF!,#REF!,$A11,#REF!,2)</f>
        <v>#REF!</v>
      </c>
      <c r="G11" s="16" t="e">
        <f>#REF!-#REF!</f>
        <v>#REF!</v>
      </c>
      <c r="H11" s="17" t="e">
        <f>Таблица1[[#This Row],[Shu vaqtgacha bo''lishi kerak bo''lgan to''lov]]-#REF!</f>
        <v>#VALUE!</v>
      </c>
    </row>
    <row r="12" spans="1:8" x14ac:dyDescent="0.25">
      <c r="A12" s="10" t="s">
        <v>544</v>
      </c>
      <c r="B12" s="14">
        <v>115</v>
      </c>
      <c r="C12" s="18">
        <v>8500000</v>
      </c>
      <c r="D12" s="18">
        <v>0</v>
      </c>
      <c r="E12" s="19" t="e">
        <f>SUMIFS(#REF!,#REF!,$A12,#REF!,1)</f>
        <v>#REF!</v>
      </c>
      <c r="F12" s="19" t="e">
        <f>SUMIFS(#REF!,#REF!,$A12,#REF!,2)</f>
        <v>#REF!</v>
      </c>
      <c r="G12" s="19" t="e">
        <f>#REF!-#REF!</f>
        <v>#REF!</v>
      </c>
      <c r="H12" s="20" t="e">
        <f>Таблица1[[#This Row],[Shu vaqtgacha bo''lishi kerak bo''lgan to''lov]]-#REF!</f>
        <v>#VALUE!</v>
      </c>
    </row>
    <row r="13" spans="1:8" x14ac:dyDescent="0.25">
      <c r="A13" s="13" t="s">
        <v>545</v>
      </c>
      <c r="B13" s="14">
        <v>115</v>
      </c>
      <c r="C13" s="15">
        <v>0</v>
      </c>
      <c r="D13" s="15">
        <v>8500000</v>
      </c>
      <c r="E13" s="16" t="e">
        <f>SUMIFS(#REF!,#REF!,$A13,#REF!,1)</f>
        <v>#REF!</v>
      </c>
      <c r="F13" s="16" t="e">
        <f>SUMIFS(#REF!,#REF!,$A13,#REF!,2)</f>
        <v>#REF!</v>
      </c>
      <c r="G13" s="16" t="e">
        <f>#REF!-#REF!</f>
        <v>#REF!</v>
      </c>
      <c r="H13" s="17" t="e">
        <f>Таблица1[[#This Row],[Shu vaqtgacha bo''lishi kerak bo''lgan to''lov]]-#REF!</f>
        <v>#VALUE!</v>
      </c>
    </row>
    <row r="14" spans="1:8" x14ac:dyDescent="0.25">
      <c r="A14" s="10" t="s">
        <v>546</v>
      </c>
      <c r="B14" s="14">
        <v>101</v>
      </c>
      <c r="C14" s="18">
        <v>0</v>
      </c>
      <c r="D14" s="18">
        <v>8500000</v>
      </c>
      <c r="E14" s="19" t="e">
        <f>SUMIFS(#REF!,#REF!,$A14,#REF!,1)</f>
        <v>#REF!</v>
      </c>
      <c r="F14" s="19" t="e">
        <f>SUMIFS(#REF!,#REF!,$A14,#REF!,2)</f>
        <v>#REF!</v>
      </c>
      <c r="G14" s="19" t="e">
        <f>#REF!-#REF!</f>
        <v>#REF!</v>
      </c>
      <c r="H14" s="20" t="e">
        <f>Таблица1[[#This Row],[Shu vaqtgacha bo''lishi kerak bo''lgan to''lov]]-#REF!</f>
        <v>#VALUE!</v>
      </c>
    </row>
    <row r="15" spans="1:8" x14ac:dyDescent="0.25">
      <c r="A15" s="13" t="s">
        <v>547</v>
      </c>
      <c r="B15" s="14">
        <v>116</v>
      </c>
      <c r="C15" s="15">
        <v>0</v>
      </c>
      <c r="D15" s="15">
        <v>8500000</v>
      </c>
      <c r="E15" s="16" t="e">
        <f>SUMIFS(#REF!,#REF!,$A15,#REF!,1)</f>
        <v>#REF!</v>
      </c>
      <c r="F15" s="16" t="e">
        <f>SUMIFS(#REF!,#REF!,$A15,#REF!,2)</f>
        <v>#REF!</v>
      </c>
      <c r="G15" s="16" t="e">
        <f>#REF!-#REF!</f>
        <v>#REF!</v>
      </c>
      <c r="H15" s="17" t="e">
        <f>Таблица1[[#This Row],[Shu vaqtgacha bo''lishi kerak bo''lgan to''lov]]-#REF!</f>
        <v>#VALUE!</v>
      </c>
    </row>
    <row r="16" spans="1:8" x14ac:dyDescent="0.25">
      <c r="A16" s="10" t="s">
        <v>548</v>
      </c>
      <c r="B16" s="14">
        <v>116</v>
      </c>
      <c r="C16" s="18">
        <v>8500000</v>
      </c>
      <c r="D16" s="18">
        <v>0</v>
      </c>
      <c r="E16" s="19" t="e">
        <f>SUMIFS(#REF!,#REF!,$A16,#REF!,1)</f>
        <v>#REF!</v>
      </c>
      <c r="F16" s="19" t="e">
        <f>SUMIFS(#REF!,#REF!,$A16,#REF!,2)</f>
        <v>#REF!</v>
      </c>
      <c r="G16" s="19" t="e">
        <f>#REF!-#REF!</f>
        <v>#REF!</v>
      </c>
      <c r="H16" s="20" t="e">
        <f>Таблица1[[#This Row],[Shu vaqtgacha bo''lishi kerak bo''lgan to''lov]]-#REF!</f>
        <v>#VALUE!</v>
      </c>
    </row>
    <row r="17" spans="1:9" x14ac:dyDescent="0.25">
      <c r="A17" s="13" t="s">
        <v>549</v>
      </c>
      <c r="B17" s="14">
        <v>116</v>
      </c>
      <c r="C17" s="15">
        <v>0</v>
      </c>
      <c r="D17" s="15">
        <v>8500000</v>
      </c>
      <c r="E17" s="16" t="e">
        <f>SUMIFS(#REF!,#REF!,$A17,#REF!,1)</f>
        <v>#REF!</v>
      </c>
      <c r="F17" s="16" t="e">
        <f>SUMIFS(#REF!,#REF!,$A17,#REF!,2)</f>
        <v>#REF!</v>
      </c>
      <c r="G17" s="16" t="e">
        <f>#REF!-#REF!</f>
        <v>#REF!</v>
      </c>
      <c r="H17" s="17" t="e">
        <f>Таблица1[[#This Row],[Shu vaqtgacha bo''lishi kerak bo''lgan to''lov]]-#REF!</f>
        <v>#VALUE!</v>
      </c>
    </row>
    <row r="18" spans="1:9" x14ac:dyDescent="0.25">
      <c r="A18" s="10" t="s">
        <v>550</v>
      </c>
      <c r="B18" s="14">
        <v>115</v>
      </c>
      <c r="C18" s="18">
        <v>0</v>
      </c>
      <c r="D18" s="18">
        <v>8500000</v>
      </c>
      <c r="E18" s="19" t="e">
        <f>SUMIFS(#REF!,#REF!,$A18,#REF!,1)</f>
        <v>#REF!</v>
      </c>
      <c r="F18" s="19" t="e">
        <f>SUMIFS(#REF!,#REF!,$A18,#REF!,2)</f>
        <v>#REF!</v>
      </c>
      <c r="G18" s="19" t="e">
        <f>#REF!-#REF!</f>
        <v>#REF!</v>
      </c>
      <c r="H18" s="20" t="e">
        <f>Таблица1[[#This Row],[Shu vaqtgacha bo''lishi kerak bo''lgan to''lov]]-#REF!</f>
        <v>#VALUE!</v>
      </c>
    </row>
    <row r="19" spans="1:9" x14ac:dyDescent="0.25">
      <c r="A19" s="13" t="s">
        <v>551</v>
      </c>
      <c r="B19" s="14">
        <v>115</v>
      </c>
      <c r="C19" s="15">
        <v>0</v>
      </c>
      <c r="D19" s="15">
        <v>8500000</v>
      </c>
      <c r="E19" s="16" t="e">
        <f>SUMIFS(#REF!,#REF!,$A19,#REF!,1)</f>
        <v>#REF!</v>
      </c>
      <c r="F19" s="16" t="e">
        <f>SUMIFS(#REF!,#REF!,$A19,#REF!,2)</f>
        <v>#REF!</v>
      </c>
      <c r="G19" s="16" t="e">
        <f>#REF!-#REF!</f>
        <v>#REF!</v>
      </c>
      <c r="H19" s="17" t="e">
        <f>Таблица1[[#This Row],[Shu vaqtgacha bo''lishi kerak bo''lgan to''lov]]-#REF!</f>
        <v>#REF!</v>
      </c>
    </row>
    <row r="20" spans="1:9" x14ac:dyDescent="0.25">
      <c r="A20" s="10" t="s">
        <v>552</v>
      </c>
      <c r="B20" s="14">
        <v>205</v>
      </c>
      <c r="C20" s="18">
        <v>8500000</v>
      </c>
      <c r="D20" s="18">
        <v>0</v>
      </c>
      <c r="E20" s="19" t="e">
        <f>SUMIFS(#REF!,#REF!,$A20,#REF!,1)</f>
        <v>#REF!</v>
      </c>
      <c r="F20" s="19" t="e">
        <f>SUMIFS(#REF!,#REF!,$A20,#REF!,2)</f>
        <v>#REF!</v>
      </c>
      <c r="G20" s="19" t="e">
        <f>#REF!-#REF!</f>
        <v>#REF!</v>
      </c>
      <c r="H20" s="20" t="e">
        <f>Таблица1[[#This Row],[Shu vaqtgacha bo''lishi kerak bo''lgan to''lov]]-#REF!</f>
        <v>#REF!</v>
      </c>
    </row>
    <row r="21" spans="1:9" x14ac:dyDescent="0.25">
      <c r="A21" s="13" t="s">
        <v>553</v>
      </c>
      <c r="B21" s="14">
        <v>115</v>
      </c>
      <c r="C21" s="21">
        <v>8500000</v>
      </c>
      <c r="D21" s="21">
        <v>8500000</v>
      </c>
      <c r="E21" s="16" t="e">
        <f>SUMIFS(#REF!,#REF!,$A21,#REF!,1)</f>
        <v>#REF!</v>
      </c>
      <c r="F21" s="16" t="e">
        <f>SUMIFS(#REF!,#REF!,$A21,#REF!,2)</f>
        <v>#REF!</v>
      </c>
      <c r="G21" s="16" t="e">
        <f>#REF!-#REF!</f>
        <v>#REF!</v>
      </c>
      <c r="H21" s="17" t="e">
        <f>Таблица1[[#This Row],[Shu vaqtgacha bo''lishi kerak bo''lgan to''lov]]-#REF!</f>
        <v>#REF!</v>
      </c>
    </row>
    <row r="22" spans="1:9" x14ac:dyDescent="0.25">
      <c r="A22" s="10" t="s">
        <v>554</v>
      </c>
      <c r="B22" s="14">
        <v>101</v>
      </c>
      <c r="C22" s="18">
        <v>0</v>
      </c>
      <c r="D22" s="18">
        <v>8500000</v>
      </c>
      <c r="E22" s="19" t="e">
        <f>SUMIFS(#REF!,#REF!,$A22,#REF!,1)</f>
        <v>#REF!</v>
      </c>
      <c r="F22" s="19" t="e">
        <f>SUMIFS(#REF!,#REF!,$A22,#REF!,2)</f>
        <v>#REF!</v>
      </c>
      <c r="G22" s="19" t="e">
        <f>#REF!-#REF!</f>
        <v>#REF!</v>
      </c>
      <c r="H22" s="20" t="e">
        <f>Таблица1[[#This Row],[Shu vaqtgacha bo''lishi kerak bo''lgan to''lov]]-#REF!</f>
        <v>#REF!</v>
      </c>
    </row>
    <row r="23" spans="1:9" x14ac:dyDescent="0.25">
      <c r="A23" s="13" t="s">
        <v>555</v>
      </c>
      <c r="B23" s="14">
        <v>116</v>
      </c>
      <c r="C23" s="15">
        <v>0</v>
      </c>
      <c r="D23" s="15">
        <v>8500000</v>
      </c>
      <c r="E23" s="16" t="e">
        <f>SUMIFS(#REF!,#REF!,$A23,#REF!,1)</f>
        <v>#REF!</v>
      </c>
      <c r="F23" s="16" t="e">
        <f>SUMIFS(#REF!,#REF!,$A23,#REF!,2)</f>
        <v>#REF!</v>
      </c>
      <c r="G23" s="16" t="e">
        <f>#REF!-#REF!</f>
        <v>#REF!</v>
      </c>
      <c r="H23" s="17" t="e">
        <f>Таблица1[[#This Row],[Shu vaqtgacha bo''lishi kerak bo''lgan to''lov]]-#REF!</f>
        <v>#REF!</v>
      </c>
    </row>
    <row r="24" spans="1:9" x14ac:dyDescent="0.25">
      <c r="A24" s="10" t="s">
        <v>556</v>
      </c>
      <c r="B24" s="14">
        <v>116</v>
      </c>
      <c r="C24" s="18">
        <v>0</v>
      </c>
      <c r="D24" s="18">
        <v>8500000</v>
      </c>
      <c r="E24" s="19" t="e">
        <f>SUMIFS(#REF!,#REF!,$A24,#REF!,1)</f>
        <v>#REF!</v>
      </c>
      <c r="F24" s="19" t="e">
        <f>SUMIFS(#REF!,#REF!,$A24,#REF!,2)</f>
        <v>#REF!</v>
      </c>
      <c r="G24" s="19" t="e">
        <f>#REF!-#REF!</f>
        <v>#REF!</v>
      </c>
      <c r="H24" s="20" t="e">
        <f>Таблица1[[#This Row],[Shu vaqtgacha bo''lishi kerak bo''lgan to''lov]]-#REF!</f>
        <v>#REF!</v>
      </c>
    </row>
    <row r="25" spans="1:9" x14ac:dyDescent="0.25">
      <c r="A25" t="s">
        <v>557</v>
      </c>
      <c r="B25" s="11">
        <v>103</v>
      </c>
      <c r="C25" s="2">
        <v>0</v>
      </c>
      <c r="D25" s="2">
        <v>8500000</v>
      </c>
      <c r="E25" s="1" t="e">
        <f>SUMIFS(#REF!,#REF!,$A25,#REF!,1)</f>
        <v>#REF!</v>
      </c>
      <c r="F25" s="1" t="e">
        <f>SUMIFS(#REF!,#REF!,$A25,#REF!,2)</f>
        <v>#REF!</v>
      </c>
      <c r="G25" s="1" t="e">
        <f>#REF!-#REF!</f>
        <v>#REF!</v>
      </c>
      <c r="H25" s="1" t="e">
        <f>Таблица1[[#This Row],[Shu vaqtgacha bo''lishi kerak bo''lgan to''lov]]-#REF!</f>
        <v>#REF!</v>
      </c>
      <c r="I25" t="s">
        <v>558</v>
      </c>
    </row>
    <row r="26" spans="1:9" x14ac:dyDescent="0.25">
      <c r="A26" t="s">
        <v>559</v>
      </c>
      <c r="B26" s="11">
        <v>103</v>
      </c>
      <c r="C26" s="2">
        <v>0</v>
      </c>
      <c r="D26" s="2">
        <v>8550000</v>
      </c>
      <c r="E26" s="1" t="e">
        <f>SUMIFS(#REF!,#REF!,$A26,#REF!,1)</f>
        <v>#REF!</v>
      </c>
      <c r="F26" s="1" t="e">
        <f>SUMIFS(#REF!,#REF!,$A26,#REF!,2)</f>
        <v>#REF!</v>
      </c>
      <c r="G26" s="1" t="e">
        <f>#REF!-#REF!</f>
        <v>#REF!</v>
      </c>
      <c r="H26" s="1" t="e">
        <f>Таблица1[[#This Row],[Shu vaqtgacha bo''lishi kerak bo''lgan to''lov]]-#REF!</f>
        <v>#REF!</v>
      </c>
      <c r="I26" t="s">
        <v>558</v>
      </c>
    </row>
    <row r="27" spans="1:9" x14ac:dyDescent="0.25">
      <c r="A27" s="10" t="s">
        <v>218</v>
      </c>
      <c r="B27" s="14">
        <v>108</v>
      </c>
      <c r="C27" s="18">
        <v>0</v>
      </c>
      <c r="D27" s="18">
        <v>8500000</v>
      </c>
      <c r="E27" s="19" t="e">
        <f>SUMIFS(#REF!,#REF!,$A27,#REF!,1)</f>
        <v>#REF!</v>
      </c>
      <c r="F27" s="19" t="e">
        <f>SUMIFS(#REF!,#REF!,$A27,#REF!,2)</f>
        <v>#REF!</v>
      </c>
      <c r="G27" s="19" t="e">
        <f>#REF!-#REF!</f>
        <v>#REF!</v>
      </c>
      <c r="H27" s="20" t="e">
        <f>Таблица1[[#This Row],[Shu vaqtgacha bo''lishi kerak bo''lgan to''lov]]-#REF!</f>
        <v>#REF!</v>
      </c>
    </row>
    <row r="28" spans="1:9" x14ac:dyDescent="0.25">
      <c r="A28" s="13" t="s">
        <v>560</v>
      </c>
      <c r="B28" s="14">
        <v>108</v>
      </c>
      <c r="C28" s="15">
        <v>0</v>
      </c>
      <c r="D28" s="15">
        <v>8500000</v>
      </c>
      <c r="E28" s="16" t="e">
        <f>SUMIFS(#REF!,#REF!,$A28,#REF!,1)</f>
        <v>#REF!</v>
      </c>
      <c r="F28" s="16" t="e">
        <f>SUMIFS(#REF!,#REF!,$A28,#REF!,2)</f>
        <v>#REF!</v>
      </c>
      <c r="G28" s="16" t="e">
        <f>#REF!-#REF!</f>
        <v>#REF!</v>
      </c>
      <c r="H28" s="17" t="e">
        <f>Таблица1[[#This Row],[Shu vaqtgacha bo''lishi kerak bo''lgan to''lov]]-#REF!</f>
        <v>#REF!</v>
      </c>
    </row>
  </sheetData>
  <conditionalFormatting sqref="A1">
    <cfRule type="duplicateValues" dxfId="269" priority="87"/>
    <cfRule type="duplicateValues" dxfId="268" priority="86"/>
    <cfRule type="duplicateValues" dxfId="267" priority="85"/>
  </conditionalFormatting>
  <conditionalFormatting sqref="A2">
    <cfRule type="duplicateValues" dxfId="266" priority="81"/>
    <cfRule type="duplicateValues" dxfId="265" priority="80"/>
    <cfRule type="duplicateValues" dxfId="264" priority="79"/>
  </conditionalFormatting>
  <conditionalFormatting sqref="A3">
    <cfRule type="duplicateValues" dxfId="263" priority="78"/>
    <cfRule type="duplicateValues" dxfId="262" priority="77"/>
    <cfRule type="duplicateValues" dxfId="261" priority="76"/>
  </conditionalFormatting>
  <conditionalFormatting sqref="A4">
    <cfRule type="duplicateValues" dxfId="260" priority="74"/>
    <cfRule type="duplicateValues" dxfId="259" priority="75"/>
    <cfRule type="duplicateValues" dxfId="258" priority="73"/>
  </conditionalFormatting>
  <conditionalFormatting sqref="A5">
    <cfRule type="duplicateValues" dxfId="257" priority="71"/>
    <cfRule type="duplicateValues" dxfId="256" priority="72"/>
    <cfRule type="duplicateValues" dxfId="255" priority="70"/>
  </conditionalFormatting>
  <conditionalFormatting sqref="A6">
    <cfRule type="duplicateValues" dxfId="254" priority="67"/>
    <cfRule type="duplicateValues" dxfId="253" priority="68"/>
    <cfRule type="duplicateValues" dxfId="252" priority="69"/>
  </conditionalFormatting>
  <conditionalFormatting sqref="A7">
    <cfRule type="duplicateValues" dxfId="251" priority="64"/>
    <cfRule type="duplicateValues" dxfId="250" priority="65"/>
    <cfRule type="duplicateValues" dxfId="249" priority="66"/>
  </conditionalFormatting>
  <conditionalFormatting sqref="A8">
    <cfRule type="duplicateValues" dxfId="248" priority="63"/>
    <cfRule type="duplicateValues" dxfId="247" priority="62"/>
    <cfRule type="duplicateValues" dxfId="246" priority="61"/>
  </conditionalFormatting>
  <conditionalFormatting sqref="A9">
    <cfRule type="duplicateValues" dxfId="245" priority="60"/>
    <cfRule type="duplicateValues" dxfId="244" priority="59"/>
    <cfRule type="duplicateValues" dxfId="243" priority="58"/>
  </conditionalFormatting>
  <conditionalFormatting sqref="A10">
    <cfRule type="duplicateValues" dxfId="242" priority="57"/>
    <cfRule type="duplicateValues" dxfId="241" priority="56"/>
    <cfRule type="duplicateValues" dxfId="240" priority="55"/>
  </conditionalFormatting>
  <conditionalFormatting sqref="A11">
    <cfRule type="duplicateValues" dxfId="239" priority="53"/>
    <cfRule type="duplicateValues" dxfId="238" priority="54"/>
    <cfRule type="duplicateValues" dxfId="237" priority="52"/>
  </conditionalFormatting>
  <conditionalFormatting sqref="A12">
    <cfRule type="duplicateValues" dxfId="236" priority="49"/>
    <cfRule type="duplicateValues" dxfId="235" priority="51"/>
    <cfRule type="duplicateValues" dxfId="234" priority="50"/>
  </conditionalFormatting>
  <conditionalFormatting sqref="A13">
    <cfRule type="duplicateValues" dxfId="233" priority="46"/>
    <cfRule type="duplicateValues" dxfId="232" priority="47"/>
    <cfRule type="duplicateValues" dxfId="231" priority="48"/>
  </conditionalFormatting>
  <conditionalFormatting sqref="A14">
    <cfRule type="duplicateValues" dxfId="230" priority="43"/>
    <cfRule type="duplicateValues" dxfId="229" priority="44"/>
    <cfRule type="duplicateValues" dxfId="228" priority="45"/>
  </conditionalFormatting>
  <conditionalFormatting sqref="A15">
    <cfRule type="duplicateValues" dxfId="227" priority="40"/>
    <cfRule type="duplicateValues" dxfId="226" priority="42"/>
    <cfRule type="duplicateValues" dxfId="225" priority="41"/>
  </conditionalFormatting>
  <conditionalFormatting sqref="A16">
    <cfRule type="duplicateValues" dxfId="224" priority="39"/>
    <cfRule type="duplicateValues" dxfId="223" priority="38"/>
    <cfRule type="duplicateValues" dxfId="222" priority="37"/>
  </conditionalFormatting>
  <conditionalFormatting sqref="A17">
    <cfRule type="duplicateValues" dxfId="221" priority="36"/>
    <cfRule type="duplicateValues" dxfId="220" priority="35"/>
    <cfRule type="duplicateValues" dxfId="219" priority="34"/>
  </conditionalFormatting>
  <conditionalFormatting sqref="A18">
    <cfRule type="duplicateValues" dxfId="218" priority="33"/>
    <cfRule type="duplicateValues" dxfId="217" priority="32"/>
    <cfRule type="duplicateValues" dxfId="216" priority="31"/>
  </conditionalFormatting>
  <conditionalFormatting sqref="A19">
    <cfRule type="duplicateValues" dxfId="215" priority="30"/>
    <cfRule type="duplicateValues" dxfId="214" priority="29"/>
    <cfRule type="duplicateValues" dxfId="213" priority="28"/>
  </conditionalFormatting>
  <conditionalFormatting sqref="A20">
    <cfRule type="duplicateValues" dxfId="212" priority="27"/>
    <cfRule type="duplicateValues" dxfId="211" priority="26"/>
    <cfRule type="duplicateValues" dxfId="210" priority="25"/>
  </conditionalFormatting>
  <conditionalFormatting sqref="A21">
    <cfRule type="duplicateValues" dxfId="209" priority="24"/>
    <cfRule type="duplicateValues" dxfId="208" priority="23"/>
    <cfRule type="duplicateValues" dxfId="207" priority="22"/>
  </conditionalFormatting>
  <conditionalFormatting sqref="A22">
    <cfRule type="duplicateValues" dxfId="206" priority="21"/>
    <cfRule type="duplicateValues" dxfId="205" priority="20"/>
    <cfRule type="duplicateValues" dxfId="204" priority="19"/>
  </conditionalFormatting>
  <conditionalFormatting sqref="A23">
    <cfRule type="duplicateValues" dxfId="203" priority="18"/>
    <cfRule type="duplicateValues" dxfId="202" priority="17"/>
    <cfRule type="duplicateValues" dxfId="201" priority="16"/>
  </conditionalFormatting>
  <conditionalFormatting sqref="A24">
    <cfRule type="duplicateValues" dxfId="200" priority="15"/>
    <cfRule type="duplicateValues" dxfId="199" priority="14"/>
    <cfRule type="duplicateValues" dxfId="198" priority="13"/>
  </conditionalFormatting>
  <conditionalFormatting sqref="A25">
    <cfRule type="duplicateValues" dxfId="197" priority="11"/>
    <cfRule type="duplicateValues" dxfId="196" priority="12"/>
    <cfRule type="duplicateValues" dxfId="195" priority="10"/>
  </conditionalFormatting>
  <conditionalFormatting sqref="A26">
    <cfRule type="duplicateValues" dxfId="194" priority="9"/>
    <cfRule type="duplicateValues" dxfId="193" priority="8"/>
    <cfRule type="duplicateValues" dxfId="192" priority="7"/>
  </conditionalFormatting>
  <conditionalFormatting sqref="A27">
    <cfRule type="duplicateValues" dxfId="191" priority="6"/>
    <cfRule type="duplicateValues" dxfId="190" priority="5"/>
    <cfRule type="duplicateValues" dxfId="189" priority="4"/>
  </conditionalFormatting>
  <conditionalFormatting sqref="A28">
    <cfRule type="duplicateValues" dxfId="188" priority="2"/>
    <cfRule type="duplicateValues" dxfId="187" priority="3"/>
    <cfRule type="duplicateValues" dxfId="18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D64" sqref="D64"/>
    </sheetView>
  </sheetViews>
  <sheetFormatPr defaultColWidth="8.85546875" defaultRowHeight="15" x14ac:dyDescent="0.25"/>
  <cols>
    <col min="1" max="1" width="40.85546875" customWidth="1"/>
    <col min="3" max="3" width="23" customWidth="1"/>
    <col min="4" max="4" width="12.42578125" customWidth="1"/>
    <col min="5" max="5" width="15.140625" customWidth="1"/>
  </cols>
  <sheetData>
    <row r="1" spans="1:8" x14ac:dyDescent="0.25">
      <c r="A1" s="13" t="s">
        <v>561</v>
      </c>
      <c r="B1" s="14">
        <v>114</v>
      </c>
      <c r="C1" s="15">
        <v>8500000</v>
      </c>
      <c r="D1" s="15">
        <v>0</v>
      </c>
      <c r="E1" s="16" t="e">
        <f>SUMIFS(#REF!,#REF!,$A1,#REF!,1)</f>
        <v>#REF!</v>
      </c>
      <c r="F1" s="16" t="e">
        <f>SUMIFS(#REF!,#REF!,$A1,#REF!,2)</f>
        <v>#REF!</v>
      </c>
      <c r="G1" s="16" t="e">
        <f>#REF!-#REF!</f>
        <v>#REF!</v>
      </c>
      <c r="H1" s="17" t="e">
        <f>Таблица1[[#This Row],[Shu vaqtgacha bo''lishi kerak bo''lgan to''lov]]-#REF!</f>
        <v>#VALUE!</v>
      </c>
    </row>
    <row r="2" spans="1:8" x14ac:dyDescent="0.25">
      <c r="A2" s="13" t="s">
        <v>562</v>
      </c>
      <c r="B2" s="14">
        <v>114</v>
      </c>
      <c r="C2" s="15">
        <v>8500000</v>
      </c>
      <c r="D2" s="15">
        <v>0</v>
      </c>
      <c r="E2" s="16" t="e">
        <f>SUMIFS(#REF!,#REF!,$A2,#REF!,1)</f>
        <v>#REF!</v>
      </c>
      <c r="F2" s="16" t="e">
        <f>SUMIFS(#REF!,#REF!,$A2,#REF!,2)</f>
        <v>#REF!</v>
      </c>
      <c r="G2" s="16" t="e">
        <f>#REF!-#REF!</f>
        <v>#REF!</v>
      </c>
      <c r="H2" s="17" t="e">
        <f>Таблица1[[#This Row],[Shu vaqtgacha bo''lishi kerak bo''lgan to''lov]]-#REF!</f>
        <v>#VALUE!</v>
      </c>
    </row>
    <row r="3" spans="1:8" x14ac:dyDescent="0.25">
      <c r="A3" s="10" t="s">
        <v>563</v>
      </c>
      <c r="B3" s="14">
        <v>114</v>
      </c>
      <c r="C3" s="18">
        <v>8500000</v>
      </c>
      <c r="D3" s="18">
        <v>0</v>
      </c>
      <c r="E3" s="19" t="e">
        <f>SUMIFS(#REF!,#REF!,$A3,#REF!,1)</f>
        <v>#REF!</v>
      </c>
      <c r="F3" s="19" t="e">
        <f>SUMIFS(#REF!,#REF!,$A3,#REF!,2)</f>
        <v>#REF!</v>
      </c>
      <c r="G3" s="19" t="e">
        <f>#REF!-#REF!</f>
        <v>#REF!</v>
      </c>
      <c r="H3" s="20" t="e">
        <f>Таблица1[[#This Row],[Shu vaqtgacha bo''lishi kerak bo''lgan to''lov]]-#REF!</f>
        <v>#VALUE!</v>
      </c>
    </row>
    <row r="4" spans="1:8" x14ac:dyDescent="0.25">
      <c r="A4" s="13" t="s">
        <v>564</v>
      </c>
      <c r="B4" s="14">
        <v>114</v>
      </c>
      <c r="C4" s="15">
        <v>8500000</v>
      </c>
      <c r="D4" s="15">
        <v>0</v>
      </c>
      <c r="E4" s="16" t="e">
        <f>SUMIFS(#REF!,#REF!,$A4,#REF!,1)</f>
        <v>#REF!</v>
      </c>
      <c r="F4" s="16" t="e">
        <f>SUMIFS(#REF!,#REF!,$A4,#REF!,2)</f>
        <v>#REF!</v>
      </c>
      <c r="G4" s="16" t="e">
        <f>#REF!-#REF!</f>
        <v>#REF!</v>
      </c>
      <c r="H4" s="17" t="e">
        <f>Таблица1[[#This Row],[Shu vaqtgacha bo''lishi kerak bo''lgan to''lov]]-#REF!</f>
        <v>#VALUE!</v>
      </c>
    </row>
    <row r="5" spans="1:8" x14ac:dyDescent="0.25">
      <c r="A5" s="10" t="s">
        <v>565</v>
      </c>
      <c r="B5" s="14">
        <v>114</v>
      </c>
      <c r="C5" s="18">
        <v>8500000</v>
      </c>
      <c r="D5" s="18">
        <v>0</v>
      </c>
      <c r="E5" s="19" t="e">
        <f>SUMIFS(#REF!,#REF!,$A5,#REF!,1)</f>
        <v>#REF!</v>
      </c>
      <c r="F5" s="19" t="e">
        <f>SUMIFS(#REF!,#REF!,$A5,#REF!,2)</f>
        <v>#REF!</v>
      </c>
      <c r="G5" s="19" t="e">
        <f>#REF!-#REF!</f>
        <v>#REF!</v>
      </c>
      <c r="H5" s="20" t="e">
        <f>Таблица1[[#This Row],[Shu vaqtgacha bo''lishi kerak bo''lgan to''lov]]-#REF!</f>
        <v>#VALUE!</v>
      </c>
    </row>
    <row r="6" spans="1:8" x14ac:dyDescent="0.25">
      <c r="A6" s="10" t="s">
        <v>566</v>
      </c>
      <c r="B6" s="14">
        <v>114</v>
      </c>
      <c r="C6" s="18">
        <v>8500000</v>
      </c>
      <c r="D6" s="18">
        <v>0</v>
      </c>
      <c r="E6" s="19" t="e">
        <f>SUMIFS(#REF!,#REF!,$A6,#REF!,1)</f>
        <v>#REF!</v>
      </c>
      <c r="F6" s="19" t="e">
        <f>SUMIFS(#REF!,#REF!,$A6,#REF!,2)</f>
        <v>#REF!</v>
      </c>
      <c r="G6" s="19" t="e">
        <f>#REF!-#REF!</f>
        <v>#REF!</v>
      </c>
      <c r="H6" s="20" t="e">
        <f>Таблица1[[#This Row],[Shu vaqtgacha bo''lishi kerak bo''lgan to''lov]]-#REF!</f>
        <v>#VALUE!</v>
      </c>
    </row>
    <row r="7" spans="1:8" x14ac:dyDescent="0.25">
      <c r="A7" s="13" t="s">
        <v>567</v>
      </c>
      <c r="B7" s="14">
        <v>114</v>
      </c>
      <c r="C7" s="15">
        <v>8500000</v>
      </c>
      <c r="D7" s="15">
        <v>0</v>
      </c>
      <c r="E7" s="16" t="e">
        <f>SUMIFS(#REF!,#REF!,$A7,#REF!,1)</f>
        <v>#REF!</v>
      </c>
      <c r="F7" s="16" t="e">
        <f>SUMIFS(#REF!,#REF!,$A7,#REF!,2)</f>
        <v>#REF!</v>
      </c>
      <c r="G7" s="16" t="e">
        <f>#REF!-#REF!</f>
        <v>#REF!</v>
      </c>
      <c r="H7" s="17" t="e">
        <f>Таблица1[[#This Row],[Shu vaqtgacha bo''lishi kerak bo''lgan to''lov]]-#REF!</f>
        <v>#VALUE!</v>
      </c>
    </row>
    <row r="8" spans="1:8" x14ac:dyDescent="0.25">
      <c r="A8" s="10" t="s">
        <v>568</v>
      </c>
      <c r="B8" s="14">
        <v>114</v>
      </c>
      <c r="C8" s="18">
        <v>8500000</v>
      </c>
      <c r="D8" s="18">
        <v>0</v>
      </c>
      <c r="E8" s="19" t="e">
        <f>SUMIFS(#REF!,#REF!,$A8,#REF!,1)</f>
        <v>#REF!</v>
      </c>
      <c r="F8" s="19" t="e">
        <f>SUMIFS(#REF!,#REF!,$A8,#REF!,2)</f>
        <v>#REF!</v>
      </c>
      <c r="G8" s="19" t="e">
        <f>#REF!-#REF!</f>
        <v>#REF!</v>
      </c>
      <c r="H8" s="20" t="e">
        <f>Таблица1[[#This Row],[Shu vaqtgacha bo''lishi kerak bo''lgan to''lov]]-#REF!</f>
        <v>#VALUE!</v>
      </c>
    </row>
    <row r="9" spans="1:8" x14ac:dyDescent="0.25">
      <c r="A9" s="10" t="s">
        <v>569</v>
      </c>
      <c r="B9" s="14">
        <v>114</v>
      </c>
      <c r="C9" s="18">
        <v>8500000</v>
      </c>
      <c r="D9" s="18">
        <v>0</v>
      </c>
      <c r="E9" s="19" t="e">
        <f>SUMIFS(#REF!,#REF!,$A9,#REF!,1)</f>
        <v>#REF!</v>
      </c>
      <c r="F9" s="19" t="e">
        <f>SUMIFS(#REF!,#REF!,$A9,#REF!,2)</f>
        <v>#REF!</v>
      </c>
      <c r="G9" s="19" t="e">
        <f>#REF!-#REF!</f>
        <v>#REF!</v>
      </c>
      <c r="H9" s="20" t="e">
        <f>Таблица1[[#This Row],[Shu vaqtgacha bo''lishi kerak bo''lgan to''lov]]-#REF!</f>
        <v>#VALUE!</v>
      </c>
    </row>
    <row r="10" spans="1:8" x14ac:dyDescent="0.25">
      <c r="A10" s="13" t="s">
        <v>570</v>
      </c>
      <c r="B10" s="14">
        <v>114</v>
      </c>
      <c r="C10" s="15">
        <v>8500000</v>
      </c>
      <c r="D10" s="15">
        <v>0</v>
      </c>
      <c r="E10" s="16" t="e">
        <f>SUMIFS(#REF!,#REF!,$A10,#REF!,1)</f>
        <v>#REF!</v>
      </c>
      <c r="F10" s="16" t="e">
        <f>SUMIFS(#REF!,#REF!,$A10,#REF!,2)</f>
        <v>#REF!</v>
      </c>
      <c r="G10" s="16" t="e">
        <f>#REF!-#REF!</f>
        <v>#REF!</v>
      </c>
      <c r="H10" s="17" t="e">
        <f>Таблица1[[#This Row],[Shu vaqtgacha bo''lishi kerak bo''lgan to''lov]]-#REF!</f>
        <v>#VALUE!</v>
      </c>
    </row>
    <row r="11" spans="1:8" x14ac:dyDescent="0.25">
      <c r="A11" s="13" t="s">
        <v>571</v>
      </c>
      <c r="B11" s="14">
        <v>114</v>
      </c>
      <c r="C11" s="15">
        <v>8500000</v>
      </c>
      <c r="D11" s="15">
        <v>0</v>
      </c>
      <c r="E11" s="16" t="e">
        <f>SUMIFS(#REF!,#REF!,$A11,#REF!,1)</f>
        <v>#REF!</v>
      </c>
      <c r="F11" s="16" t="e">
        <f>SUMIFS(#REF!,#REF!,$A11,#REF!,2)</f>
        <v>#REF!</v>
      </c>
      <c r="G11" s="16" t="e">
        <f>#REF!-#REF!</f>
        <v>#REF!</v>
      </c>
      <c r="H11" s="17" t="e">
        <f>Таблица1[[#This Row],[Shu vaqtgacha bo''lishi kerak bo''lgan to''lov]]-#REF!</f>
        <v>#VALUE!</v>
      </c>
    </row>
    <row r="12" spans="1:8" x14ac:dyDescent="0.25">
      <c r="A12" s="13" t="s">
        <v>572</v>
      </c>
      <c r="B12" s="14">
        <v>114</v>
      </c>
      <c r="C12" s="15">
        <v>8500000</v>
      </c>
      <c r="D12" s="15">
        <v>0</v>
      </c>
      <c r="E12" s="16" t="e">
        <f>SUMIFS(#REF!,#REF!,$A12,#REF!,1)</f>
        <v>#REF!</v>
      </c>
      <c r="F12" s="16" t="e">
        <f>SUMIFS(#REF!,#REF!,$A12,#REF!,2)</f>
        <v>#REF!</v>
      </c>
      <c r="G12" s="16" t="e">
        <f>#REF!-#REF!</f>
        <v>#REF!</v>
      </c>
      <c r="H12" s="17" t="e">
        <f>Таблица1[[#This Row],[Shu vaqtgacha bo''lishi kerak bo''lgan to''lov]]-#REF!</f>
        <v>#VALUE!</v>
      </c>
    </row>
    <row r="13" spans="1:8" x14ac:dyDescent="0.25">
      <c r="A13" s="10" t="s">
        <v>573</v>
      </c>
      <c r="B13" s="14">
        <v>114</v>
      </c>
      <c r="C13" s="18">
        <v>8500000</v>
      </c>
      <c r="D13" s="18">
        <v>0</v>
      </c>
      <c r="E13" s="19" t="e">
        <f>SUMIFS(#REF!,#REF!,$A13,#REF!,1)</f>
        <v>#REF!</v>
      </c>
      <c r="F13" s="19" t="e">
        <f>SUMIFS(#REF!,#REF!,$A13,#REF!,2)</f>
        <v>#REF!</v>
      </c>
      <c r="G13" s="19" t="e">
        <f>#REF!-#REF!</f>
        <v>#REF!</v>
      </c>
      <c r="H13" s="20" t="e">
        <f>Таблица1[[#This Row],[Shu vaqtgacha bo''lishi kerak bo''lgan to''lov]]-#REF!</f>
        <v>#VALUE!</v>
      </c>
    </row>
    <row r="14" spans="1:8" x14ac:dyDescent="0.25">
      <c r="A14" s="10" t="s">
        <v>574</v>
      </c>
      <c r="B14" s="14">
        <v>114</v>
      </c>
      <c r="C14" s="18">
        <v>8500000</v>
      </c>
      <c r="D14" s="18">
        <v>0</v>
      </c>
      <c r="E14" s="19" t="e">
        <f>SUMIFS(#REF!,#REF!,$A14,#REF!,1)</f>
        <v>#REF!</v>
      </c>
      <c r="F14" s="19" t="e">
        <f>SUMIFS(#REF!,#REF!,$A14,#REF!,2)</f>
        <v>#REF!</v>
      </c>
      <c r="G14" s="19" t="e">
        <f>#REF!-#REF!</f>
        <v>#REF!</v>
      </c>
      <c r="H14" s="20" t="e">
        <f>Таблица1[[#This Row],[Shu vaqtgacha bo''lishi kerak bo''lgan to''lov]]-#REF!</f>
        <v>#VALUE!</v>
      </c>
    </row>
    <row r="15" spans="1:8" x14ac:dyDescent="0.25">
      <c r="A15" s="13" t="s">
        <v>575</v>
      </c>
      <c r="B15" s="14">
        <v>114</v>
      </c>
      <c r="C15" s="15">
        <v>8500000</v>
      </c>
      <c r="D15" s="15">
        <v>0</v>
      </c>
      <c r="E15" s="16" t="e">
        <f>SUMIFS(#REF!,#REF!,$A15,#REF!,1)</f>
        <v>#REF!</v>
      </c>
      <c r="F15" s="16" t="e">
        <f>SUMIFS(#REF!,#REF!,$A15,#REF!,2)</f>
        <v>#REF!</v>
      </c>
      <c r="G15" s="16" t="e">
        <f>#REF!-#REF!</f>
        <v>#REF!</v>
      </c>
      <c r="H15" s="17" t="e">
        <f>Таблица1[[#This Row],[Shu vaqtgacha bo''lishi kerak bo''lgan to''lov]]-#REF!</f>
        <v>#VALUE!</v>
      </c>
    </row>
    <row r="16" spans="1:8" x14ac:dyDescent="0.25">
      <c r="A16" s="10" t="s">
        <v>576</v>
      </c>
      <c r="B16" s="14">
        <v>114</v>
      </c>
      <c r="C16" s="18">
        <v>8500000</v>
      </c>
      <c r="D16" s="18">
        <v>0</v>
      </c>
      <c r="E16" s="19" t="e">
        <f>SUMIFS(#REF!,#REF!,$A16,#REF!,1)</f>
        <v>#REF!</v>
      </c>
      <c r="F16" s="19" t="e">
        <f>SUMIFS(#REF!,#REF!,$A16,#REF!,2)</f>
        <v>#REF!</v>
      </c>
      <c r="G16" s="19" t="e">
        <f>#REF!-#REF!</f>
        <v>#REF!</v>
      </c>
      <c r="H16" s="20" t="e">
        <f>Таблица1[[#This Row],[Shu vaqtgacha bo''lishi kerak bo''lgan to''lov]]-#REF!</f>
        <v>#VALUE!</v>
      </c>
    </row>
    <row r="17" spans="1:8" x14ac:dyDescent="0.25">
      <c r="A17" s="13" t="s">
        <v>577</v>
      </c>
      <c r="B17" s="14">
        <v>114</v>
      </c>
      <c r="C17" s="15">
        <v>8500000</v>
      </c>
      <c r="D17" s="15">
        <v>0</v>
      </c>
      <c r="E17" s="16" t="e">
        <f>SUMIFS(#REF!,#REF!,$A17,#REF!,1)</f>
        <v>#REF!</v>
      </c>
      <c r="F17" s="16" t="e">
        <f>SUMIFS(#REF!,#REF!,$A17,#REF!,2)</f>
        <v>#REF!</v>
      </c>
      <c r="G17" s="16" t="e">
        <f>#REF!-#REF!</f>
        <v>#REF!</v>
      </c>
      <c r="H17" s="17" t="e">
        <f>Таблица1[[#This Row],[Shu vaqtgacha bo''lishi kerak bo''lgan to''lov]]-#REF!</f>
        <v>#VALUE!</v>
      </c>
    </row>
    <row r="18" spans="1:8" x14ac:dyDescent="0.25">
      <c r="A18" s="13" t="s">
        <v>578</v>
      </c>
      <c r="B18" s="14">
        <v>114</v>
      </c>
      <c r="C18" s="15">
        <v>8500000</v>
      </c>
      <c r="D18" s="15">
        <v>0</v>
      </c>
      <c r="E18" s="16" t="e">
        <f>SUMIFS(#REF!,#REF!,$A18,#REF!,1)</f>
        <v>#REF!</v>
      </c>
      <c r="F18" s="16" t="e">
        <f>SUMIFS(#REF!,#REF!,$A18,#REF!,2)</f>
        <v>#REF!</v>
      </c>
      <c r="G18" s="16" t="e">
        <f>#REF!-#REF!</f>
        <v>#REF!</v>
      </c>
      <c r="H18" s="17" t="e">
        <f>Таблица1[[#This Row],[Shu vaqtgacha bo''lishi kerak bo''lgan to''lov]]-#REF!</f>
        <v>#VALUE!</v>
      </c>
    </row>
    <row r="19" spans="1:8" x14ac:dyDescent="0.25">
      <c r="A19" s="13" t="s">
        <v>579</v>
      </c>
      <c r="B19" s="14">
        <v>114</v>
      </c>
      <c r="C19" s="15">
        <v>8500000</v>
      </c>
      <c r="D19" s="15">
        <v>0</v>
      </c>
      <c r="E19" s="16" t="e">
        <f>SUMIFS(#REF!,#REF!,$A19,#REF!,1)</f>
        <v>#REF!</v>
      </c>
      <c r="F19" s="16" t="e">
        <f>SUMIFS(#REF!,#REF!,$A19,#REF!,2)</f>
        <v>#REF!</v>
      </c>
      <c r="G19" s="16" t="e">
        <f>#REF!-#REF!</f>
        <v>#REF!</v>
      </c>
      <c r="H19" s="17" t="e">
        <f>Таблица1[[#This Row],[Shu vaqtgacha bo''lishi kerak bo''lgan to''lov]]-#REF!</f>
        <v>#REF!</v>
      </c>
    </row>
    <row r="20" spans="1:8" x14ac:dyDescent="0.25">
      <c r="A20" s="13" t="s">
        <v>580</v>
      </c>
      <c r="B20" s="14">
        <v>114</v>
      </c>
      <c r="C20" s="15">
        <v>8500000</v>
      </c>
      <c r="D20" s="15">
        <v>0</v>
      </c>
      <c r="E20" s="16" t="e">
        <f>SUMIFS(#REF!,#REF!,$A20,#REF!,1)</f>
        <v>#REF!</v>
      </c>
      <c r="F20" s="16" t="e">
        <f>SUMIFS(#REF!,#REF!,$A20,#REF!,2)</f>
        <v>#REF!</v>
      </c>
      <c r="G20" s="16" t="e">
        <f>#REF!-#REF!</f>
        <v>#REF!</v>
      </c>
      <c r="H20" s="17" t="e">
        <f>Таблица1[[#This Row],[Shu vaqtgacha bo''lishi kerak bo''lgan to''lov]]-#REF!</f>
        <v>#REF!</v>
      </c>
    </row>
    <row r="21" spans="1:8" x14ac:dyDescent="0.25">
      <c r="A21" s="10" t="s">
        <v>581</v>
      </c>
      <c r="B21" s="14">
        <v>115</v>
      </c>
      <c r="C21" s="18">
        <v>8500000</v>
      </c>
      <c r="D21" s="18">
        <v>0</v>
      </c>
      <c r="E21" s="19" t="e">
        <f>SUMIFS(#REF!,#REF!,$A21,#REF!,1)</f>
        <v>#REF!</v>
      </c>
      <c r="F21" s="19" t="e">
        <f>SUMIFS(#REF!,#REF!,$A21,#REF!,2)</f>
        <v>#REF!</v>
      </c>
      <c r="G21" s="19" t="e">
        <f>#REF!-#REF!</f>
        <v>#REF!</v>
      </c>
      <c r="H21" s="20" t="e">
        <f>Таблица1[[#This Row],[Shu vaqtgacha bo''lishi kerak bo''lgan to''lov]]-#REF!</f>
        <v>#REF!</v>
      </c>
    </row>
    <row r="22" spans="1:8" x14ac:dyDescent="0.25">
      <c r="A22" s="13" t="s">
        <v>582</v>
      </c>
      <c r="B22" s="14">
        <v>115</v>
      </c>
      <c r="C22" s="15">
        <v>8500000</v>
      </c>
      <c r="D22" s="15">
        <v>0</v>
      </c>
      <c r="E22" s="16" t="e">
        <f>SUMIFS(#REF!,#REF!,$A22,#REF!,1)</f>
        <v>#REF!</v>
      </c>
      <c r="F22" s="16" t="e">
        <f>SUMIFS(#REF!,#REF!,$A22,#REF!,2)</f>
        <v>#REF!</v>
      </c>
      <c r="G22" s="16" t="e">
        <f>#REF!-#REF!</f>
        <v>#REF!</v>
      </c>
      <c r="H22" s="17" t="e">
        <f>Таблица1[[#This Row],[Shu vaqtgacha bo''lishi kerak bo''lgan to''lov]]-#REF!</f>
        <v>#REF!</v>
      </c>
    </row>
    <row r="23" spans="1:8" x14ac:dyDescent="0.25">
      <c r="A23" s="10" t="s">
        <v>583</v>
      </c>
      <c r="B23" s="14">
        <v>115</v>
      </c>
      <c r="C23" s="18">
        <v>8500000</v>
      </c>
      <c r="D23" s="18">
        <v>0</v>
      </c>
      <c r="E23" s="19" t="e">
        <f>SUMIFS(#REF!,#REF!,$A23,#REF!,1)</f>
        <v>#REF!</v>
      </c>
      <c r="F23" s="19" t="e">
        <f>SUMIFS(#REF!,#REF!,$A23,#REF!,2)</f>
        <v>#REF!</v>
      </c>
      <c r="G23" s="19" t="e">
        <f>#REF!-#REF!</f>
        <v>#REF!</v>
      </c>
      <c r="H23" s="20" t="e">
        <f>Таблица1[[#This Row],[Shu vaqtgacha bo''lishi kerak bo''lgan to''lov]]-#REF!</f>
        <v>#REF!</v>
      </c>
    </row>
    <row r="24" spans="1:8" x14ac:dyDescent="0.25">
      <c r="A24" s="13" t="s">
        <v>584</v>
      </c>
      <c r="B24" s="14">
        <v>115</v>
      </c>
      <c r="C24" s="15">
        <v>8500000</v>
      </c>
      <c r="D24" s="15">
        <v>0</v>
      </c>
      <c r="E24" s="16" t="e">
        <f>SUMIFS(#REF!,#REF!,$A24,#REF!,1)</f>
        <v>#REF!</v>
      </c>
      <c r="F24" s="16" t="e">
        <f>SUMIFS(#REF!,#REF!,$A24,#REF!,2)</f>
        <v>#REF!</v>
      </c>
      <c r="G24" s="16" t="e">
        <f>#REF!-#REF!</f>
        <v>#REF!</v>
      </c>
      <c r="H24" s="17" t="e">
        <f>Таблица1[[#This Row],[Shu vaqtgacha bo''lishi kerak bo''lgan to''lov]]-#REF!</f>
        <v>#REF!</v>
      </c>
    </row>
    <row r="25" spans="1:8" x14ac:dyDescent="0.25">
      <c r="A25" s="13" t="s">
        <v>585</v>
      </c>
      <c r="B25" s="14">
        <v>115</v>
      </c>
      <c r="C25" s="15">
        <v>8500000</v>
      </c>
      <c r="D25" s="15">
        <v>0</v>
      </c>
      <c r="E25" s="16" t="e">
        <f>SUMIFS(#REF!,#REF!,$A25,#REF!,1)</f>
        <v>#REF!</v>
      </c>
      <c r="F25" s="16" t="e">
        <f>SUMIFS(#REF!,#REF!,$A25,#REF!,2)</f>
        <v>#REF!</v>
      </c>
      <c r="G25" s="16" t="e">
        <f>#REF!-#REF!</f>
        <v>#REF!</v>
      </c>
      <c r="H25" s="17" t="e">
        <f>Таблица1[[#This Row],[Shu vaqtgacha bo''lishi kerak bo''lgan to''lov]]-#REF!</f>
        <v>#REF!</v>
      </c>
    </row>
    <row r="26" spans="1:8" x14ac:dyDescent="0.25">
      <c r="A26" s="10" t="s">
        <v>586</v>
      </c>
      <c r="B26" s="14">
        <v>115</v>
      </c>
      <c r="C26" s="18">
        <v>8500000</v>
      </c>
      <c r="D26" s="18">
        <v>0</v>
      </c>
      <c r="E26" s="19" t="e">
        <f>SUMIFS(#REF!,#REF!,$A26,#REF!,1)</f>
        <v>#REF!</v>
      </c>
      <c r="F26" s="19" t="e">
        <f>SUMIFS(#REF!,#REF!,$A26,#REF!,2)</f>
        <v>#REF!</v>
      </c>
      <c r="G26" s="19" t="e">
        <f>#REF!-#REF!</f>
        <v>#REF!</v>
      </c>
      <c r="H26" s="20" t="e">
        <f>Таблица1[[#This Row],[Shu vaqtgacha bo''lishi kerak bo''lgan to''lov]]-#REF!</f>
        <v>#REF!</v>
      </c>
    </row>
    <row r="27" spans="1:8" x14ac:dyDescent="0.25">
      <c r="A27" s="13" t="s">
        <v>587</v>
      </c>
      <c r="B27" s="14">
        <v>115</v>
      </c>
      <c r="C27" s="15">
        <v>8500000</v>
      </c>
      <c r="D27" s="15">
        <v>0</v>
      </c>
      <c r="E27" s="16" t="e">
        <f>SUMIFS(#REF!,#REF!,$A27,#REF!,1)</f>
        <v>#REF!</v>
      </c>
      <c r="F27" s="16" t="e">
        <f>SUMIFS(#REF!,#REF!,$A27,#REF!,2)</f>
        <v>#REF!</v>
      </c>
      <c r="G27" s="16" t="e">
        <f>#REF!-#REF!</f>
        <v>#REF!</v>
      </c>
      <c r="H27" s="17" t="e">
        <f>Таблица1[[#This Row],[Shu vaqtgacha bo''lishi kerak bo''lgan to''lov]]-#REF!</f>
        <v>#REF!</v>
      </c>
    </row>
    <row r="28" spans="1:8" x14ac:dyDescent="0.25">
      <c r="A28" s="13" t="s">
        <v>588</v>
      </c>
      <c r="B28" s="14">
        <v>115</v>
      </c>
      <c r="C28" s="15">
        <v>8500000</v>
      </c>
      <c r="D28" s="15">
        <v>0</v>
      </c>
      <c r="E28" s="16" t="e">
        <f>SUMIFS(#REF!,#REF!,$A28,#REF!,1)</f>
        <v>#REF!</v>
      </c>
      <c r="F28" s="16" t="e">
        <f>SUMIFS(#REF!,#REF!,$A28,#REF!,2)</f>
        <v>#REF!</v>
      </c>
      <c r="G28" s="16" t="e">
        <f>#REF!-#REF!</f>
        <v>#REF!</v>
      </c>
      <c r="H28" s="17" t="e">
        <f>Таблица1[[#This Row],[Shu vaqtgacha bo''lishi kerak bo''lgan to''lov]]-#REF!</f>
        <v>#REF!</v>
      </c>
    </row>
    <row r="29" spans="1:8" x14ac:dyDescent="0.25">
      <c r="A29" s="13" t="s">
        <v>589</v>
      </c>
      <c r="B29" s="14">
        <v>115</v>
      </c>
      <c r="C29" s="15">
        <v>8500000</v>
      </c>
      <c r="D29" s="15">
        <v>0</v>
      </c>
      <c r="E29" s="16" t="e">
        <f>SUMIFS(#REF!,#REF!,$A29,#REF!,1)</f>
        <v>#REF!</v>
      </c>
      <c r="F29" s="16" t="e">
        <f>SUMIFS(#REF!,#REF!,$A29,#REF!,2)</f>
        <v>#REF!</v>
      </c>
      <c r="G29" s="16" t="e">
        <f>#REF!-#REF!</f>
        <v>#REF!</v>
      </c>
      <c r="H29" s="17" t="e">
        <f>Таблица1[[#This Row],[Shu vaqtgacha bo''lishi kerak bo''lgan to''lov]]-#REF!</f>
        <v>#REF!</v>
      </c>
    </row>
    <row r="30" spans="1:8" x14ac:dyDescent="0.25">
      <c r="A30" s="10" t="s">
        <v>590</v>
      </c>
      <c r="B30" s="14">
        <v>115</v>
      </c>
      <c r="C30" s="18">
        <v>8500000</v>
      </c>
      <c r="D30" s="18">
        <v>0</v>
      </c>
      <c r="E30" s="19" t="e">
        <f>SUMIFS(#REF!,#REF!,$A30,#REF!,1)</f>
        <v>#REF!</v>
      </c>
      <c r="F30" s="19" t="e">
        <f>SUMIFS(#REF!,#REF!,$A30,#REF!,2)</f>
        <v>#REF!</v>
      </c>
      <c r="G30" s="19" t="e">
        <f>#REF!-#REF!</f>
        <v>#REF!</v>
      </c>
      <c r="H30" s="20" t="e">
        <f>Таблица1[[#This Row],[Shu vaqtgacha bo''lishi kerak bo''lgan to''lov]]-#REF!</f>
        <v>#REF!</v>
      </c>
    </row>
    <row r="31" spans="1:8" x14ac:dyDescent="0.25">
      <c r="A31" s="10" t="s">
        <v>591</v>
      </c>
      <c r="B31" s="14">
        <v>115</v>
      </c>
      <c r="C31" s="18">
        <v>8500000</v>
      </c>
      <c r="D31" s="18">
        <v>0</v>
      </c>
      <c r="E31" s="19" t="e">
        <f>SUMIFS(#REF!,#REF!,$A31,#REF!,1)</f>
        <v>#REF!</v>
      </c>
      <c r="F31" s="19" t="e">
        <f>SUMIFS(#REF!,#REF!,$A31,#REF!,2)</f>
        <v>#REF!</v>
      </c>
      <c r="G31" s="19" t="e">
        <f>#REF!-#REF!</f>
        <v>#REF!</v>
      </c>
      <c r="H31" s="20" t="e">
        <f>Таблица1[[#This Row],[Shu vaqtgacha bo''lishi kerak bo''lgan to''lov]]-#REF!</f>
        <v>#REF!</v>
      </c>
    </row>
    <row r="32" spans="1:8" x14ac:dyDescent="0.25">
      <c r="A32" s="13" t="s">
        <v>592</v>
      </c>
      <c r="B32" s="14">
        <v>115</v>
      </c>
      <c r="C32" s="15">
        <v>8500000</v>
      </c>
      <c r="D32" s="15">
        <v>0</v>
      </c>
      <c r="E32" s="16" t="e">
        <f>SUMIFS(#REF!,#REF!,$A32,#REF!,1)</f>
        <v>#REF!</v>
      </c>
      <c r="F32" s="16" t="e">
        <f>SUMIFS(#REF!,#REF!,$A32,#REF!,2)</f>
        <v>#REF!</v>
      </c>
      <c r="G32" s="16" t="e">
        <f>#REF!-#REF!</f>
        <v>#REF!</v>
      </c>
      <c r="H32" s="17" t="e">
        <f>Таблица1[[#This Row],[Shu vaqtgacha bo''lishi kerak bo''lgan to''lov]]-#REF!</f>
        <v>#REF!</v>
      </c>
    </row>
    <row r="33" spans="1:8" x14ac:dyDescent="0.25">
      <c r="A33" s="10" t="s">
        <v>593</v>
      </c>
      <c r="B33" s="14">
        <v>115</v>
      </c>
      <c r="C33" s="18">
        <v>8500000</v>
      </c>
      <c r="D33" s="18">
        <v>0</v>
      </c>
      <c r="E33" s="19" t="e">
        <f>SUMIFS(#REF!,#REF!,$A33,#REF!,1)</f>
        <v>#REF!</v>
      </c>
      <c r="F33" s="19" t="e">
        <f>SUMIFS(#REF!,#REF!,$A33,#REF!,2)</f>
        <v>#REF!</v>
      </c>
      <c r="G33" s="19" t="e">
        <f>#REF!-#REF!</f>
        <v>#REF!</v>
      </c>
      <c r="H33" s="20" t="e">
        <f>Таблица1[[#This Row],[Shu vaqtgacha bo''lishi kerak bo''lgan to''lov]]-#REF!</f>
        <v>#REF!</v>
      </c>
    </row>
    <row r="34" spans="1:8" x14ac:dyDescent="0.25">
      <c r="A34" s="13" t="s">
        <v>594</v>
      </c>
      <c r="B34" s="14">
        <v>115</v>
      </c>
      <c r="C34" s="15">
        <v>8500000</v>
      </c>
      <c r="D34" s="15">
        <v>0</v>
      </c>
      <c r="E34" s="16" t="e">
        <f>SUMIFS(#REF!,#REF!,$A34,#REF!,1)</f>
        <v>#REF!</v>
      </c>
      <c r="F34" s="16" t="e">
        <f>SUMIFS(#REF!,#REF!,$A34,#REF!,2)</f>
        <v>#REF!</v>
      </c>
      <c r="G34" s="16" t="e">
        <f>#REF!-#REF!</f>
        <v>#REF!</v>
      </c>
      <c r="H34" s="17" t="e">
        <f>Таблица1[[#This Row],[Shu vaqtgacha bo''lishi kerak bo''lgan to''lov]]-#REF!</f>
        <v>#REF!</v>
      </c>
    </row>
    <row r="35" spans="1:8" x14ac:dyDescent="0.25">
      <c r="A35" s="10" t="s">
        <v>595</v>
      </c>
      <c r="B35" s="14">
        <v>115</v>
      </c>
      <c r="C35" s="18">
        <v>8500000</v>
      </c>
      <c r="D35" s="18">
        <v>0</v>
      </c>
      <c r="E35" s="19" t="e">
        <f>SUMIFS(#REF!,#REF!,$A35,#REF!,1)</f>
        <v>#REF!</v>
      </c>
      <c r="F35" s="19" t="e">
        <f>SUMIFS(#REF!,#REF!,$A35,#REF!,2)</f>
        <v>#REF!</v>
      </c>
      <c r="G35" s="19" t="e">
        <f>#REF!-#REF!</f>
        <v>#REF!</v>
      </c>
      <c r="H35" s="20" t="e">
        <f>Таблица1[[#This Row],[Shu vaqtgacha bo''lishi kerak bo''lgan to''lov]]-#REF!</f>
        <v>#REF!</v>
      </c>
    </row>
    <row r="36" spans="1:8" x14ac:dyDescent="0.25">
      <c r="A36" s="10" t="s">
        <v>596</v>
      </c>
      <c r="B36" s="14">
        <v>115</v>
      </c>
      <c r="C36" s="18">
        <v>8500000</v>
      </c>
      <c r="D36" s="18">
        <v>0</v>
      </c>
      <c r="E36" s="19" t="e">
        <f>SUMIFS(#REF!,#REF!,$A36,#REF!,1)</f>
        <v>#REF!</v>
      </c>
      <c r="F36" s="19" t="e">
        <f>SUMIFS(#REF!,#REF!,$A36,#REF!,2)</f>
        <v>#REF!</v>
      </c>
      <c r="G36" s="19" t="e">
        <f>#REF!-#REF!</f>
        <v>#REF!</v>
      </c>
      <c r="H36" s="20" t="e">
        <f>Таблица1[[#This Row],[Shu vaqtgacha bo''lishi kerak bo''lgan to''lov]]-#REF!</f>
        <v>#REF!</v>
      </c>
    </row>
    <row r="37" spans="1:8" x14ac:dyDescent="0.25">
      <c r="A37" s="13" t="s">
        <v>597</v>
      </c>
      <c r="B37" s="14">
        <v>116</v>
      </c>
      <c r="C37" s="15">
        <v>8500000</v>
      </c>
      <c r="D37" s="15">
        <v>0</v>
      </c>
      <c r="E37" s="16" t="e">
        <f>SUMIFS(#REF!,#REF!,$A37,#REF!,1)</f>
        <v>#REF!</v>
      </c>
      <c r="F37" s="16" t="e">
        <f>SUMIFS(#REF!,#REF!,$A37,#REF!,2)</f>
        <v>#REF!</v>
      </c>
      <c r="G37" s="16" t="e">
        <f>#REF!-#REF!</f>
        <v>#REF!</v>
      </c>
      <c r="H37" s="17" t="e">
        <f>Таблица1[[#This Row],[Shu vaqtgacha bo''lishi kerak bo''lgan to''lov]]-#REF!</f>
        <v>#REF!</v>
      </c>
    </row>
    <row r="38" spans="1:8" x14ac:dyDescent="0.25">
      <c r="A38" s="13" t="s">
        <v>598</v>
      </c>
      <c r="B38" s="14">
        <v>116</v>
      </c>
      <c r="C38" s="15">
        <v>8500000</v>
      </c>
      <c r="D38" s="15">
        <v>0</v>
      </c>
      <c r="E38" s="16" t="e">
        <f>SUMIFS(#REF!,#REF!,$A38,#REF!,1)</f>
        <v>#REF!</v>
      </c>
      <c r="F38" s="16" t="e">
        <f>SUMIFS(#REF!,#REF!,$A38,#REF!,2)</f>
        <v>#REF!</v>
      </c>
      <c r="G38" s="16" t="e">
        <f>#REF!-#REF!</f>
        <v>#REF!</v>
      </c>
      <c r="H38" s="17" t="e">
        <f>Таблица1[[#This Row],[Shu vaqtgacha bo''lishi kerak bo''lgan to''lov]]-#REF!</f>
        <v>#REF!</v>
      </c>
    </row>
    <row r="39" spans="1:8" x14ac:dyDescent="0.25">
      <c r="A39" s="10" t="s">
        <v>599</v>
      </c>
      <c r="B39" s="14">
        <v>116</v>
      </c>
      <c r="C39" s="18">
        <v>0</v>
      </c>
      <c r="D39" s="18">
        <v>8500000</v>
      </c>
      <c r="E39" s="19" t="e">
        <f>SUMIFS(#REF!,#REF!,$A39,#REF!,1)</f>
        <v>#REF!</v>
      </c>
      <c r="F39" s="19" t="e">
        <f>SUMIFS(#REF!,#REF!,$A39,#REF!,2)</f>
        <v>#REF!</v>
      </c>
      <c r="G39" s="19" t="e">
        <f>#REF!-#REF!</f>
        <v>#REF!</v>
      </c>
      <c r="H39" s="20" t="e">
        <f>Таблица1[[#This Row],[Shu vaqtgacha bo''lishi kerak bo''lgan to''lov]]-#REF!</f>
        <v>#REF!</v>
      </c>
    </row>
    <row r="40" spans="1:8" x14ac:dyDescent="0.25">
      <c r="A40" s="10" t="s">
        <v>600</v>
      </c>
      <c r="B40" s="14">
        <v>116</v>
      </c>
      <c r="C40" s="18">
        <v>8500000</v>
      </c>
      <c r="D40" s="18">
        <v>0</v>
      </c>
      <c r="E40" s="19" t="e">
        <f>SUMIFS(#REF!,#REF!,$A40,#REF!,1)</f>
        <v>#REF!</v>
      </c>
      <c r="F40" s="19" t="e">
        <f>SUMIFS(#REF!,#REF!,$A40,#REF!,2)</f>
        <v>#REF!</v>
      </c>
      <c r="G40" s="19" t="e">
        <f>#REF!-#REF!</f>
        <v>#REF!</v>
      </c>
      <c r="H40" s="20" t="e">
        <f>Таблица1[[#This Row],[Shu vaqtgacha bo''lishi kerak bo''lgan to''lov]]-#REF!</f>
        <v>#REF!</v>
      </c>
    </row>
    <row r="41" spans="1:8" x14ac:dyDescent="0.25">
      <c r="A41" s="13" t="s">
        <v>601</v>
      </c>
      <c r="B41" s="14">
        <v>116</v>
      </c>
      <c r="C41" s="15">
        <v>8500000</v>
      </c>
      <c r="D41" s="15">
        <v>0</v>
      </c>
      <c r="E41" s="16" t="e">
        <f>SUMIFS(#REF!,#REF!,$A41,#REF!,1)</f>
        <v>#REF!</v>
      </c>
      <c r="F41" s="16" t="e">
        <f>SUMIFS(#REF!,#REF!,$A41,#REF!,2)</f>
        <v>#REF!</v>
      </c>
      <c r="G41" s="16" t="e">
        <f>#REF!-#REF!</f>
        <v>#REF!</v>
      </c>
      <c r="H41" s="17" t="e">
        <f>Таблица1[[#This Row],[Shu vaqtgacha bo''lishi kerak bo''lgan to''lov]]-#REF!</f>
        <v>#REF!</v>
      </c>
    </row>
    <row r="42" spans="1:8" x14ac:dyDescent="0.25">
      <c r="A42" s="10" t="s">
        <v>602</v>
      </c>
      <c r="B42" s="14">
        <v>116</v>
      </c>
      <c r="C42" s="18">
        <v>8500000</v>
      </c>
      <c r="D42" s="18">
        <v>0</v>
      </c>
      <c r="E42" s="19" t="e">
        <f>SUMIFS(#REF!,#REF!,$A42,#REF!,1)</f>
        <v>#REF!</v>
      </c>
      <c r="F42" s="19" t="e">
        <f>SUMIFS(#REF!,#REF!,$A42,#REF!,2)</f>
        <v>#REF!</v>
      </c>
      <c r="G42" s="19" t="e">
        <f>#REF!-#REF!</f>
        <v>#REF!</v>
      </c>
      <c r="H42" s="20" t="e">
        <f>Таблица1[[#This Row],[Shu vaqtgacha bo''lishi kerak bo''lgan to''lov]]-#REF!</f>
        <v>#REF!</v>
      </c>
    </row>
    <row r="43" spans="1:8" x14ac:dyDescent="0.25">
      <c r="A43" s="10" t="s">
        <v>603</v>
      </c>
      <c r="B43" s="14">
        <v>116</v>
      </c>
      <c r="C43" s="18">
        <v>8500000</v>
      </c>
      <c r="D43" s="18">
        <v>0</v>
      </c>
      <c r="E43" s="19" t="e">
        <f>SUMIFS(#REF!,#REF!,$A43,#REF!,1)</f>
        <v>#REF!</v>
      </c>
      <c r="F43" s="19" t="e">
        <f>SUMIFS(#REF!,#REF!,$A43,#REF!,2)</f>
        <v>#REF!</v>
      </c>
      <c r="G43" s="19" t="e">
        <f>#REF!-#REF!</f>
        <v>#REF!</v>
      </c>
      <c r="H43" s="20" t="e">
        <f>Таблица1[[#This Row],[Shu vaqtgacha bo''lishi kerak bo''lgan to''lov]]-#REF!</f>
        <v>#REF!</v>
      </c>
    </row>
    <row r="44" spans="1:8" x14ac:dyDescent="0.25">
      <c r="A44" s="13" t="s">
        <v>604</v>
      </c>
      <c r="B44" s="14">
        <v>116</v>
      </c>
      <c r="C44" s="15">
        <v>8500000</v>
      </c>
      <c r="D44" s="15">
        <v>0</v>
      </c>
      <c r="E44" s="16" t="e">
        <f>SUMIFS(#REF!,#REF!,$A44,#REF!,1)</f>
        <v>#REF!</v>
      </c>
      <c r="F44" s="16" t="e">
        <f>SUMIFS(#REF!,#REF!,$A44,#REF!,2)</f>
        <v>#REF!</v>
      </c>
      <c r="G44" s="16" t="e">
        <f>#REF!-#REF!</f>
        <v>#REF!</v>
      </c>
      <c r="H44" s="17" t="e">
        <f>Таблица1[[#This Row],[Shu vaqtgacha bo''lishi kerak bo''lgan to''lov]]-#REF!</f>
        <v>#REF!</v>
      </c>
    </row>
    <row r="45" spans="1:8" x14ac:dyDescent="0.25">
      <c r="A45" s="10" t="s">
        <v>605</v>
      </c>
      <c r="B45" s="14">
        <v>116</v>
      </c>
      <c r="C45" s="18">
        <v>8500000</v>
      </c>
      <c r="D45" s="18">
        <v>0</v>
      </c>
      <c r="E45" s="19" t="e">
        <f>SUMIFS(#REF!,#REF!,$A45,#REF!,1)</f>
        <v>#REF!</v>
      </c>
      <c r="F45" s="19" t="e">
        <f>SUMIFS(#REF!,#REF!,$A45,#REF!,2)</f>
        <v>#REF!</v>
      </c>
      <c r="G45" s="19" t="e">
        <f>#REF!-#REF!</f>
        <v>#REF!</v>
      </c>
      <c r="H45" s="20" t="e">
        <f>Таблица1[[#This Row],[Shu vaqtgacha bo''lishi kerak bo''lgan to''lov]]-#REF!</f>
        <v>#REF!</v>
      </c>
    </row>
    <row r="46" spans="1:8" x14ac:dyDescent="0.25">
      <c r="A46" s="10" t="s">
        <v>606</v>
      </c>
      <c r="B46" s="14">
        <v>116</v>
      </c>
      <c r="C46" s="18">
        <v>8500000</v>
      </c>
      <c r="D46" s="18">
        <v>0</v>
      </c>
      <c r="E46" s="19" t="e">
        <f>SUMIFS(#REF!,#REF!,$A46,#REF!,1)</f>
        <v>#REF!</v>
      </c>
      <c r="F46" s="19" t="e">
        <f>SUMIFS(#REF!,#REF!,$A46,#REF!,2)</f>
        <v>#REF!</v>
      </c>
      <c r="G46" s="19" t="e">
        <f>#REF!-#REF!</f>
        <v>#REF!</v>
      </c>
      <c r="H46" s="20" t="e">
        <f>Таблица1[[#This Row],[Shu vaqtgacha bo''lishi kerak bo''lgan to''lov]]-#REF!</f>
        <v>#REF!</v>
      </c>
    </row>
    <row r="47" spans="1:8" x14ac:dyDescent="0.25">
      <c r="A47" s="10" t="s">
        <v>607</v>
      </c>
      <c r="B47" s="14">
        <v>116</v>
      </c>
      <c r="C47" s="18">
        <v>8500000</v>
      </c>
      <c r="D47" s="18">
        <v>0</v>
      </c>
      <c r="E47" s="19" t="e">
        <f>SUMIFS(#REF!,#REF!,$A47,#REF!,1)</f>
        <v>#REF!</v>
      </c>
      <c r="F47" s="19" t="e">
        <f>SUMIFS(#REF!,#REF!,$A47,#REF!,2)</f>
        <v>#REF!</v>
      </c>
      <c r="G47" s="19" t="e">
        <f>#REF!-#REF!</f>
        <v>#REF!</v>
      </c>
      <c r="H47" s="20" t="e">
        <f>Таблица1[[#This Row],[Shu vaqtgacha bo''lishi kerak bo''lgan to''lov]]-#REF!</f>
        <v>#REF!</v>
      </c>
    </row>
    <row r="50" spans="1:8" x14ac:dyDescent="0.25">
      <c r="A50" s="13" t="s">
        <v>608</v>
      </c>
      <c r="B50" s="14">
        <v>202</v>
      </c>
      <c r="C50" s="15">
        <v>8500000</v>
      </c>
      <c r="D50" s="15">
        <v>0</v>
      </c>
      <c r="E50" s="16" t="e">
        <f>SUMIFS(#REF!,#REF!,$A50,#REF!,1)</f>
        <v>#REF!</v>
      </c>
      <c r="F50" s="16" t="e">
        <f>SUMIFS(#REF!,#REF!,$A50,#REF!,2)</f>
        <v>#REF!</v>
      </c>
      <c r="G50" s="16" t="e">
        <f>#REF!-#REF!</f>
        <v>#REF!</v>
      </c>
      <c r="H50" s="17" t="e">
        <f>Таблица1[[#This Row],[Shu vaqtgacha bo''lishi kerak bo''lgan to''lov]]-#REF!</f>
        <v>#REF!</v>
      </c>
    </row>
    <row r="51" spans="1:8" x14ac:dyDescent="0.25">
      <c r="A51" s="13" t="s">
        <v>59</v>
      </c>
      <c r="B51" s="14">
        <v>202</v>
      </c>
      <c r="C51" s="15">
        <v>8500000</v>
      </c>
      <c r="D51" s="15">
        <v>0</v>
      </c>
      <c r="E51" s="16" t="e">
        <f>SUMIFS(#REF!,#REF!,$A51,#REF!,1)</f>
        <v>#REF!</v>
      </c>
      <c r="F51" s="16" t="e">
        <f>SUMIFS(#REF!,#REF!,$A51,#REF!,2)</f>
        <v>#REF!</v>
      </c>
      <c r="G51" s="16" t="e">
        <f>#REF!-#REF!</f>
        <v>#REF!</v>
      </c>
      <c r="H51" s="17" t="e">
        <f>Таблица1[[#This Row],[Shu vaqtgacha bo''lishi kerak bo''lgan to''lov]]-#REF!</f>
        <v>#REF!</v>
      </c>
    </row>
    <row r="52" spans="1:8" x14ac:dyDescent="0.25">
      <c r="A52" s="10" t="s">
        <v>609</v>
      </c>
      <c r="B52" s="14">
        <v>202</v>
      </c>
      <c r="C52" s="18">
        <v>8500000</v>
      </c>
      <c r="D52" s="18">
        <v>0</v>
      </c>
      <c r="E52" s="19" t="e">
        <f>SUMIFS(#REF!,#REF!,$A52,#REF!,1)</f>
        <v>#REF!</v>
      </c>
      <c r="F52" s="19" t="e">
        <f>SUMIFS(#REF!,#REF!,$A52,#REF!,2)</f>
        <v>#REF!</v>
      </c>
      <c r="G52" s="19" t="e">
        <f>#REF!-#REF!</f>
        <v>#REF!</v>
      </c>
      <c r="H52" s="20" t="e">
        <f>Таблица1[[#This Row],[Shu vaqtgacha bo''lishi kerak bo''lgan to''lov]]-#REF!</f>
        <v>#REF!</v>
      </c>
    </row>
    <row r="53" spans="1:8" x14ac:dyDescent="0.25">
      <c r="A53" s="13" t="s">
        <v>610</v>
      </c>
      <c r="B53" s="14">
        <v>202</v>
      </c>
      <c r="C53" s="15">
        <v>8500000</v>
      </c>
      <c r="D53" s="15">
        <v>0</v>
      </c>
      <c r="E53" s="16" t="e">
        <f>SUMIFS(#REF!,#REF!,$A53,#REF!,1)</f>
        <v>#REF!</v>
      </c>
      <c r="F53" s="16" t="e">
        <f>SUMIFS(#REF!,#REF!,$A53,#REF!,2)</f>
        <v>#REF!</v>
      </c>
      <c r="G53" s="16" t="e">
        <f>#REF!-#REF!</f>
        <v>#REF!</v>
      </c>
      <c r="H53" s="17" t="e">
        <f>Таблица1[[#This Row],[Shu vaqtgacha bo''lishi kerak bo''lgan to''lov]]-#REF!</f>
        <v>#REF!</v>
      </c>
    </row>
    <row r="54" spans="1:8" x14ac:dyDescent="0.25">
      <c r="A54" s="10" t="s">
        <v>611</v>
      </c>
      <c r="B54" s="14">
        <v>203</v>
      </c>
      <c r="C54" s="18">
        <v>8500000</v>
      </c>
      <c r="D54" s="18">
        <v>0</v>
      </c>
      <c r="E54" s="19" t="e">
        <f>SUMIFS(#REF!,#REF!,$A54,#REF!,1)</f>
        <v>#REF!</v>
      </c>
      <c r="F54" s="19" t="e">
        <f>SUMIFS(#REF!,#REF!,$A54,#REF!,2)</f>
        <v>#REF!</v>
      </c>
      <c r="G54" s="19" t="e">
        <f>#REF!-#REF!</f>
        <v>#REF!</v>
      </c>
      <c r="H54" s="20" t="e">
        <f>Таблица1[[#This Row],[Shu vaqtgacha bo''lishi kerak bo''lgan to''lov]]-#REF!</f>
        <v>#REF!</v>
      </c>
    </row>
    <row r="55" spans="1:8" x14ac:dyDescent="0.25">
      <c r="A55" s="13" t="s">
        <v>612</v>
      </c>
      <c r="B55" s="14">
        <v>203</v>
      </c>
      <c r="C55" s="15">
        <v>8500000</v>
      </c>
      <c r="D55" s="15">
        <v>0</v>
      </c>
      <c r="E55" s="16" t="e">
        <f>SUMIFS(#REF!,#REF!,$A55,#REF!,1)</f>
        <v>#REF!</v>
      </c>
      <c r="F55" s="16" t="e">
        <f>SUMIFS(#REF!,#REF!,$A55,#REF!,2)</f>
        <v>#REF!</v>
      </c>
      <c r="G55" s="16" t="e">
        <f>#REF!-#REF!</f>
        <v>#REF!</v>
      </c>
      <c r="H55" s="17" t="e">
        <f>Таблица1[[#This Row],[Shu vaqtgacha bo''lishi kerak bo''lgan to''lov]]-#REF!</f>
        <v>#REF!</v>
      </c>
    </row>
    <row r="56" spans="1:8" x14ac:dyDescent="0.25">
      <c r="A56" s="10" t="s">
        <v>613</v>
      </c>
      <c r="B56" s="14">
        <v>204</v>
      </c>
      <c r="C56" s="18">
        <v>8500000</v>
      </c>
      <c r="D56" s="18">
        <v>0</v>
      </c>
      <c r="E56" s="19" t="e">
        <f>SUMIFS(#REF!,#REF!,$A56,#REF!,1)</f>
        <v>#REF!</v>
      </c>
      <c r="F56" s="19" t="e">
        <f>SUMIFS(#REF!,#REF!,$A56,#REF!,2)</f>
        <v>#REF!</v>
      </c>
      <c r="G56" s="19" t="e">
        <f>#REF!-#REF!</f>
        <v>#REF!</v>
      </c>
      <c r="H56" s="20" t="e">
        <f>Таблица1[[#This Row],[Shu vaqtgacha bo''lishi kerak bo''lgan to''lov]]-#REF!</f>
        <v>#REF!</v>
      </c>
    </row>
    <row r="57" spans="1:8" x14ac:dyDescent="0.25">
      <c r="A57" s="13" t="s">
        <v>43</v>
      </c>
      <c r="B57" s="14">
        <v>204</v>
      </c>
      <c r="C57" s="15">
        <v>8500000</v>
      </c>
      <c r="D57" s="15">
        <v>0</v>
      </c>
      <c r="E57" s="16" t="e">
        <f>SUMIFS(#REF!,#REF!,$A57,#REF!,1)</f>
        <v>#REF!</v>
      </c>
      <c r="F57" s="16" t="e">
        <f>SUMIFS(#REF!,#REF!,$A57,#REF!,2)</f>
        <v>#REF!</v>
      </c>
      <c r="G57" s="16" t="e">
        <f>#REF!-#REF!</f>
        <v>#REF!</v>
      </c>
      <c r="H57" s="17" t="e">
        <f>Таблица1[[#This Row],[Shu vaqtgacha bo''lishi kerak bo''lgan to''lov]]-#REF!</f>
        <v>#REF!</v>
      </c>
    </row>
    <row r="58" spans="1:8" x14ac:dyDescent="0.25">
      <c r="A58" s="10" t="s">
        <v>614</v>
      </c>
      <c r="B58" s="14">
        <v>205</v>
      </c>
      <c r="C58" s="18">
        <v>8500000</v>
      </c>
      <c r="D58" s="18">
        <v>0</v>
      </c>
      <c r="E58" s="19" t="e">
        <f>SUMIFS(#REF!,#REF!,$A58,#REF!,1)</f>
        <v>#REF!</v>
      </c>
      <c r="F58" s="19" t="e">
        <f>SUMIFS(#REF!,#REF!,$A58,#REF!,2)</f>
        <v>#REF!</v>
      </c>
      <c r="G58" s="19" t="e">
        <f>#REF!-#REF!</f>
        <v>#REF!</v>
      </c>
      <c r="H58" s="20" t="e">
        <f>Таблица1[[#This Row],[Shu vaqtgacha bo''lishi kerak bo''lgan to''lov]]-#REF!</f>
        <v>#REF!</v>
      </c>
    </row>
    <row r="59" spans="1:8" x14ac:dyDescent="0.25">
      <c r="A59" s="13" t="s">
        <v>55</v>
      </c>
      <c r="B59" s="14">
        <v>205</v>
      </c>
      <c r="C59" s="15">
        <v>8500000</v>
      </c>
      <c r="D59" s="15">
        <v>0</v>
      </c>
      <c r="E59" s="16" t="e">
        <f>SUMIFS(#REF!,#REF!,$A59,#REF!,1)</f>
        <v>#REF!</v>
      </c>
      <c r="F59" s="16" t="e">
        <f>SUMIFS(#REF!,#REF!,$A59,#REF!,2)</f>
        <v>#REF!</v>
      </c>
      <c r="G59" s="16" t="e">
        <f>#REF!-#REF!</f>
        <v>#REF!</v>
      </c>
      <c r="H59" s="17" t="e">
        <f>Таблица1[[#This Row],[Shu vaqtgacha bo''lishi kerak bo''lgan to''lov]]-#REF!</f>
        <v>#REF!</v>
      </c>
    </row>
    <row r="60" spans="1:8" x14ac:dyDescent="0.25">
      <c r="A60" s="13" t="s">
        <v>349</v>
      </c>
      <c r="B60" s="14">
        <v>206</v>
      </c>
      <c r="C60" s="15">
        <v>8500000</v>
      </c>
      <c r="D60" s="15">
        <v>0</v>
      </c>
      <c r="E60" s="16" t="e">
        <f>SUMIFS(#REF!,#REF!,$A60,#REF!,1)</f>
        <v>#REF!</v>
      </c>
      <c r="F60" s="16" t="e">
        <f>SUMIFS(#REF!,#REF!,$A60,#REF!,2)</f>
        <v>#REF!</v>
      </c>
      <c r="G60" s="16" t="e">
        <f>#REF!-#REF!</f>
        <v>#REF!</v>
      </c>
      <c r="H60" s="17" t="e">
        <f>Таблица1[[#This Row],[Shu vaqtgacha bo''lishi kerak bo''lgan to''lov]]-#REF!</f>
        <v>#REF!</v>
      </c>
    </row>
    <row r="61" spans="1:8" x14ac:dyDescent="0.25">
      <c r="A61" s="10" t="s">
        <v>354</v>
      </c>
      <c r="B61" s="14">
        <v>206</v>
      </c>
      <c r="C61" s="18">
        <v>8500000</v>
      </c>
      <c r="D61" s="18">
        <v>0</v>
      </c>
      <c r="E61" s="19" t="e">
        <f>SUMIFS(#REF!,#REF!,$A61,#REF!,1)</f>
        <v>#REF!</v>
      </c>
      <c r="F61" s="19" t="e">
        <f>SUMIFS(#REF!,#REF!,$A61,#REF!,2)</f>
        <v>#REF!</v>
      </c>
      <c r="G61" s="19" t="e">
        <f>#REF!-#REF!</f>
        <v>#REF!</v>
      </c>
      <c r="H61" s="20" t="e">
        <f>Таблица1[[#This Row],[Shu vaqtgacha bo''lishi kerak bo''lgan to''lov]]-#REF!</f>
        <v>#REF!</v>
      </c>
    </row>
    <row r="62" spans="1:8" x14ac:dyDescent="0.25">
      <c r="A62" s="13" t="s">
        <v>557</v>
      </c>
      <c r="B62" s="14">
        <v>206</v>
      </c>
      <c r="C62" s="15">
        <v>8500000</v>
      </c>
      <c r="D62" s="15">
        <v>0</v>
      </c>
      <c r="E62" s="16" t="e">
        <f>SUMIFS(#REF!,#REF!,$A62,#REF!,1)</f>
        <v>#REF!</v>
      </c>
      <c r="F62" s="16" t="e">
        <f>SUMIFS(#REF!,#REF!,$A62,#REF!,2)</f>
        <v>#REF!</v>
      </c>
      <c r="G62" s="16" t="e">
        <f>#REF!-#REF!</f>
        <v>#REF!</v>
      </c>
      <c r="H62" s="17" t="e">
        <f>Таблица1[[#This Row],[Shu vaqtgacha bo''lishi kerak bo''lgan to''lov]]-#REF!</f>
        <v>#REF!</v>
      </c>
    </row>
    <row r="63" spans="1:8" x14ac:dyDescent="0.25">
      <c r="A63" s="12" t="s">
        <v>615</v>
      </c>
      <c r="B63" s="14">
        <v>206</v>
      </c>
      <c r="C63" s="22">
        <v>8500000</v>
      </c>
      <c r="D63" s="22">
        <v>8500000</v>
      </c>
      <c r="E63" s="19" t="e">
        <f>SUMIFS(#REF!,#REF!,$A63,#REF!,1)</f>
        <v>#REF!</v>
      </c>
      <c r="F63" s="19" t="e">
        <f>SUMIFS(#REF!,#REF!,$A63,#REF!,2)</f>
        <v>#REF!</v>
      </c>
      <c r="G63" s="19" t="e">
        <f>#REF!-#REF!</f>
        <v>#REF!</v>
      </c>
      <c r="H63" s="20" t="e">
        <f>Таблица1[[#This Row],[Shu vaqtgacha bo''lishi kerak bo''lgan to''lov]]-#REF!</f>
        <v>#REF!</v>
      </c>
    </row>
  </sheetData>
  <conditionalFormatting sqref="A1">
    <cfRule type="duplicateValues" dxfId="185" priority="174"/>
    <cfRule type="duplicateValues" dxfId="184" priority="173"/>
    <cfRule type="duplicateValues" dxfId="183" priority="172"/>
  </conditionalFormatting>
  <conditionalFormatting sqref="A2">
    <cfRule type="duplicateValues" dxfId="182" priority="171"/>
    <cfRule type="duplicateValues" dxfId="181" priority="170"/>
    <cfRule type="duplicateValues" dxfId="180" priority="169"/>
  </conditionalFormatting>
  <conditionalFormatting sqref="A3">
    <cfRule type="duplicateValues" dxfId="179" priority="167"/>
    <cfRule type="duplicateValues" dxfId="178" priority="168"/>
    <cfRule type="duplicateValues" dxfId="177" priority="166"/>
  </conditionalFormatting>
  <conditionalFormatting sqref="A4">
    <cfRule type="duplicateValues" dxfId="176" priority="165"/>
    <cfRule type="duplicateValues" dxfId="175" priority="164"/>
    <cfRule type="duplicateValues" dxfId="174" priority="163"/>
  </conditionalFormatting>
  <conditionalFormatting sqref="A5">
    <cfRule type="duplicateValues" dxfId="173" priority="162"/>
    <cfRule type="duplicateValues" dxfId="172" priority="161"/>
    <cfRule type="duplicateValues" dxfId="171" priority="160"/>
  </conditionalFormatting>
  <conditionalFormatting sqref="A6">
    <cfRule type="duplicateValues" dxfId="170" priority="159"/>
    <cfRule type="duplicateValues" dxfId="169" priority="158"/>
    <cfRule type="duplicateValues" dxfId="168" priority="157"/>
  </conditionalFormatting>
  <conditionalFormatting sqref="A7">
    <cfRule type="duplicateValues" dxfId="167" priority="156"/>
    <cfRule type="duplicateValues" dxfId="166" priority="155"/>
    <cfRule type="duplicateValues" dxfId="165" priority="154"/>
  </conditionalFormatting>
  <conditionalFormatting sqref="A8">
    <cfRule type="duplicateValues" dxfId="164" priority="153"/>
    <cfRule type="duplicateValues" dxfId="163" priority="152"/>
    <cfRule type="duplicateValues" dxfId="162" priority="151"/>
  </conditionalFormatting>
  <conditionalFormatting sqref="A9">
    <cfRule type="duplicateValues" dxfId="161" priority="150"/>
    <cfRule type="duplicateValues" dxfId="160" priority="149"/>
    <cfRule type="duplicateValues" dxfId="159" priority="148"/>
  </conditionalFormatting>
  <conditionalFormatting sqref="A10">
    <cfRule type="duplicateValues" dxfId="158" priority="147"/>
    <cfRule type="duplicateValues" dxfId="157" priority="146"/>
    <cfRule type="duplicateValues" dxfId="156" priority="145"/>
  </conditionalFormatting>
  <conditionalFormatting sqref="A11">
    <cfRule type="duplicateValues" dxfId="155" priority="144"/>
    <cfRule type="duplicateValues" dxfId="154" priority="143"/>
    <cfRule type="duplicateValues" dxfId="153" priority="142"/>
  </conditionalFormatting>
  <conditionalFormatting sqref="A12">
    <cfRule type="duplicateValues" dxfId="152" priority="141"/>
    <cfRule type="duplicateValues" dxfId="151" priority="140"/>
    <cfRule type="duplicateValues" dxfId="150" priority="139"/>
  </conditionalFormatting>
  <conditionalFormatting sqref="A13">
    <cfRule type="duplicateValues" dxfId="149" priority="138"/>
    <cfRule type="duplicateValues" dxfId="148" priority="137"/>
    <cfRule type="duplicateValues" dxfId="147" priority="136"/>
  </conditionalFormatting>
  <conditionalFormatting sqref="A14">
    <cfRule type="duplicateValues" dxfId="146" priority="135"/>
    <cfRule type="duplicateValues" dxfId="145" priority="134"/>
    <cfRule type="duplicateValues" dxfId="144" priority="133"/>
  </conditionalFormatting>
  <conditionalFormatting sqref="A15">
    <cfRule type="duplicateValues" dxfId="143" priority="130"/>
    <cfRule type="duplicateValues" dxfId="142" priority="132"/>
    <cfRule type="duplicateValues" dxfId="141" priority="131"/>
  </conditionalFormatting>
  <conditionalFormatting sqref="A16">
    <cfRule type="duplicateValues" dxfId="140" priority="129"/>
    <cfRule type="duplicateValues" dxfId="139" priority="128"/>
    <cfRule type="duplicateValues" dxfId="138" priority="127"/>
  </conditionalFormatting>
  <conditionalFormatting sqref="A17">
    <cfRule type="duplicateValues" dxfId="137" priority="125"/>
    <cfRule type="duplicateValues" dxfId="136" priority="126"/>
    <cfRule type="duplicateValues" dxfId="135" priority="124"/>
  </conditionalFormatting>
  <conditionalFormatting sqref="A18">
    <cfRule type="duplicateValues" dxfId="134" priority="123"/>
    <cfRule type="duplicateValues" dxfId="133" priority="122"/>
    <cfRule type="duplicateValues" dxfId="132" priority="121"/>
  </conditionalFormatting>
  <conditionalFormatting sqref="A19">
    <cfRule type="duplicateValues" dxfId="131" priority="120"/>
    <cfRule type="duplicateValues" dxfId="130" priority="119"/>
    <cfRule type="duplicateValues" dxfId="129" priority="118"/>
  </conditionalFormatting>
  <conditionalFormatting sqref="A20">
    <cfRule type="duplicateValues" dxfId="128" priority="117"/>
    <cfRule type="duplicateValues" dxfId="127" priority="116"/>
    <cfRule type="duplicateValues" dxfId="126" priority="115"/>
  </conditionalFormatting>
  <conditionalFormatting sqref="A21">
    <cfRule type="duplicateValues" dxfId="125" priority="114"/>
    <cfRule type="duplicateValues" dxfId="124" priority="113"/>
    <cfRule type="duplicateValues" dxfId="123" priority="112"/>
  </conditionalFormatting>
  <conditionalFormatting sqref="A22">
    <cfRule type="duplicateValues" dxfId="122" priority="109"/>
    <cfRule type="duplicateValues" dxfId="121" priority="111"/>
    <cfRule type="duplicateValues" dxfId="120" priority="110"/>
  </conditionalFormatting>
  <conditionalFormatting sqref="A23">
    <cfRule type="duplicateValues" dxfId="119" priority="108"/>
    <cfRule type="duplicateValues" dxfId="118" priority="107"/>
    <cfRule type="duplicateValues" dxfId="117" priority="106"/>
  </conditionalFormatting>
  <conditionalFormatting sqref="A24">
    <cfRule type="duplicateValues" dxfId="116" priority="105"/>
    <cfRule type="duplicateValues" dxfId="115" priority="104"/>
    <cfRule type="duplicateValues" dxfId="114" priority="103"/>
  </conditionalFormatting>
  <conditionalFormatting sqref="A25">
    <cfRule type="duplicateValues" dxfId="113" priority="102"/>
    <cfRule type="duplicateValues" dxfId="112" priority="101"/>
    <cfRule type="duplicateValues" dxfId="111" priority="100"/>
  </conditionalFormatting>
  <conditionalFormatting sqref="A26">
    <cfRule type="duplicateValues" dxfId="110" priority="99"/>
    <cfRule type="duplicateValues" dxfId="109" priority="98"/>
    <cfRule type="duplicateValues" dxfId="108" priority="97"/>
  </conditionalFormatting>
  <conditionalFormatting sqref="A27">
    <cfRule type="duplicateValues" dxfId="107" priority="96"/>
    <cfRule type="duplicateValues" dxfId="106" priority="95"/>
    <cfRule type="duplicateValues" dxfId="105" priority="94"/>
  </conditionalFormatting>
  <conditionalFormatting sqref="A28">
    <cfRule type="duplicateValues" dxfId="104" priority="91"/>
    <cfRule type="duplicateValues" dxfId="103" priority="93"/>
    <cfRule type="duplicateValues" dxfId="102" priority="92"/>
  </conditionalFormatting>
  <conditionalFormatting sqref="A29">
    <cfRule type="duplicateValues" dxfId="101" priority="88"/>
    <cfRule type="duplicateValues" dxfId="100" priority="89"/>
    <cfRule type="duplicateValues" dxfId="99" priority="90"/>
  </conditionalFormatting>
  <conditionalFormatting sqref="A30">
    <cfRule type="duplicateValues" dxfId="98" priority="87"/>
    <cfRule type="duplicateValues" dxfId="97" priority="86"/>
    <cfRule type="duplicateValues" dxfId="96" priority="85"/>
  </conditionalFormatting>
  <conditionalFormatting sqref="A31">
    <cfRule type="duplicateValues" dxfId="95" priority="84"/>
    <cfRule type="duplicateValues" dxfId="94" priority="83"/>
    <cfRule type="duplicateValues" dxfId="93" priority="82"/>
  </conditionalFormatting>
  <conditionalFormatting sqref="A32">
    <cfRule type="duplicateValues" dxfId="92" priority="80"/>
    <cfRule type="duplicateValues" dxfId="91" priority="81"/>
    <cfRule type="duplicateValues" dxfId="90" priority="79"/>
  </conditionalFormatting>
  <conditionalFormatting sqref="A33">
    <cfRule type="duplicateValues" dxfId="89" priority="78"/>
    <cfRule type="duplicateValues" dxfId="88" priority="77"/>
    <cfRule type="duplicateValues" dxfId="87" priority="76"/>
  </conditionalFormatting>
  <conditionalFormatting sqref="A34">
    <cfRule type="duplicateValues" dxfId="86" priority="75"/>
    <cfRule type="duplicateValues" dxfId="85" priority="74"/>
    <cfRule type="duplicateValues" dxfId="84" priority="73"/>
  </conditionalFormatting>
  <conditionalFormatting sqref="A35">
    <cfRule type="duplicateValues" dxfId="83" priority="72"/>
    <cfRule type="duplicateValues" dxfId="82" priority="71"/>
    <cfRule type="duplicateValues" dxfId="81" priority="70"/>
  </conditionalFormatting>
  <conditionalFormatting sqref="A36">
    <cfRule type="duplicateValues" dxfId="80" priority="67"/>
    <cfRule type="duplicateValues" dxfId="79" priority="69"/>
    <cfRule type="duplicateValues" dxfId="78" priority="68"/>
  </conditionalFormatting>
  <conditionalFormatting sqref="A37">
    <cfRule type="duplicateValues" dxfId="77" priority="66"/>
    <cfRule type="duplicateValues" dxfId="76" priority="65"/>
    <cfRule type="duplicateValues" dxfId="75" priority="64"/>
  </conditionalFormatting>
  <conditionalFormatting sqref="A38">
    <cfRule type="duplicateValues" dxfId="74" priority="63"/>
    <cfRule type="duplicateValues" dxfId="73" priority="62"/>
    <cfRule type="duplicateValues" dxfId="72" priority="61"/>
  </conditionalFormatting>
  <conditionalFormatting sqref="A39">
    <cfRule type="duplicateValues" dxfId="71" priority="60"/>
    <cfRule type="duplicateValues" dxfId="70" priority="59"/>
    <cfRule type="duplicateValues" dxfId="69" priority="58"/>
  </conditionalFormatting>
  <conditionalFormatting sqref="A40">
    <cfRule type="duplicateValues" dxfId="68" priority="57"/>
    <cfRule type="duplicateValues" dxfId="67" priority="56"/>
    <cfRule type="duplicateValues" dxfId="66" priority="55"/>
  </conditionalFormatting>
  <conditionalFormatting sqref="A41">
    <cfRule type="duplicateValues" dxfId="65" priority="54"/>
    <cfRule type="duplicateValues" dxfId="64" priority="53"/>
    <cfRule type="duplicateValues" dxfId="63" priority="52"/>
  </conditionalFormatting>
  <conditionalFormatting sqref="A42">
    <cfRule type="duplicateValues" dxfId="62" priority="51"/>
    <cfRule type="duplicateValues" dxfId="61" priority="50"/>
    <cfRule type="duplicateValues" dxfId="60" priority="49"/>
  </conditionalFormatting>
  <conditionalFormatting sqref="A43">
    <cfRule type="duplicateValues" dxfId="59" priority="48"/>
    <cfRule type="duplicateValues" dxfId="58" priority="47"/>
    <cfRule type="duplicateValues" dxfId="57" priority="46"/>
  </conditionalFormatting>
  <conditionalFormatting sqref="A44">
    <cfRule type="duplicateValues" dxfId="56" priority="43"/>
    <cfRule type="duplicateValues" dxfId="55" priority="45"/>
    <cfRule type="duplicateValues" dxfId="54" priority="44"/>
  </conditionalFormatting>
  <conditionalFormatting sqref="A45">
    <cfRule type="duplicateValues" dxfId="53" priority="42"/>
    <cfRule type="duplicateValues" dxfId="52" priority="41"/>
    <cfRule type="duplicateValues" dxfId="51" priority="40"/>
  </conditionalFormatting>
  <conditionalFormatting sqref="A46">
    <cfRule type="duplicateValues" dxfId="50" priority="38"/>
    <cfRule type="duplicateValues" dxfId="49" priority="39"/>
    <cfRule type="duplicateValues" dxfId="48" priority="37"/>
  </conditionalFormatting>
  <conditionalFormatting sqref="A47">
    <cfRule type="duplicateValues" dxfId="47" priority="36"/>
    <cfRule type="duplicateValues" dxfId="46" priority="35"/>
    <cfRule type="duplicateValues" dxfId="45" priority="34"/>
  </conditionalFormatting>
  <conditionalFormatting sqref="A50">
    <cfRule type="duplicateValues" dxfId="44" priority="33"/>
    <cfRule type="duplicateValues" dxfId="43" priority="32"/>
    <cfRule type="duplicateValues" dxfId="42" priority="31"/>
  </conditionalFormatting>
  <conditionalFormatting sqref="A51">
    <cfRule type="duplicateValues" dxfId="41" priority="30"/>
    <cfRule type="duplicateValues" dxfId="40" priority="29"/>
    <cfRule type="duplicateValues" dxfId="39" priority="28"/>
  </conditionalFormatting>
  <conditionalFormatting sqref="A52">
    <cfRule type="duplicateValues" dxfId="38" priority="25"/>
    <cfRule type="duplicateValues" dxfId="37" priority="26"/>
    <cfRule type="duplicateValues" dxfId="36" priority="27"/>
  </conditionalFormatting>
  <conditionalFormatting sqref="A53">
    <cfRule type="duplicateValues" dxfId="35" priority="22"/>
    <cfRule type="duplicateValues" dxfId="34" priority="24"/>
    <cfRule type="duplicateValues" dxfId="33" priority="23"/>
  </conditionalFormatting>
  <conditionalFormatting sqref="A54">
    <cfRule type="duplicateValues" dxfId="32" priority="21"/>
    <cfRule type="duplicateValues" dxfId="31" priority="20"/>
    <cfRule type="duplicateValues" dxfId="30" priority="19"/>
  </conditionalFormatting>
  <conditionalFormatting sqref="A55">
    <cfRule type="duplicateValues" dxfId="29" priority="18"/>
    <cfRule type="duplicateValues" dxfId="28" priority="17"/>
    <cfRule type="duplicateValues" dxfId="27" priority="16"/>
  </conditionalFormatting>
  <conditionalFormatting sqref="A56">
    <cfRule type="duplicateValues" dxfId="26" priority="15"/>
    <cfRule type="duplicateValues" dxfId="25" priority="14"/>
    <cfRule type="duplicateValues" dxfId="24" priority="13"/>
  </conditionalFormatting>
  <conditionalFormatting sqref="A57">
    <cfRule type="duplicateValues" dxfId="23" priority="12"/>
    <cfRule type="duplicateValues" dxfId="22" priority="11"/>
    <cfRule type="duplicateValues" dxfId="21" priority="10"/>
  </conditionalFormatting>
  <conditionalFormatting sqref="A60">
    <cfRule type="duplicateValues" dxfId="20" priority="9"/>
    <cfRule type="duplicateValues" dxfId="19" priority="8"/>
    <cfRule type="duplicateValues" dxfId="18" priority="7"/>
  </conditionalFormatting>
  <conditionalFormatting sqref="A61">
    <cfRule type="duplicateValues" dxfId="17" priority="6"/>
    <cfRule type="duplicateValues" dxfId="16" priority="5"/>
    <cfRule type="duplicateValues" dxfId="15" priority="4"/>
  </conditionalFormatting>
  <conditionalFormatting sqref="A63">
    <cfRule type="duplicateValues" dxfId="14" priority="2"/>
    <cfRule type="duplicateValues" dxfId="13" priority="1"/>
    <cfRule type="duplicateValues" dxfId="12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KONTRAKTLAR</vt:lpstr>
      <vt:lpstr>yil yakuniga qadar</vt:lpstr>
      <vt:lpstr>Akademik.TSCH</vt:lpstr>
      <vt:lpstr>Minuslar</vt:lpstr>
      <vt:lpstr>Bitirganlar</vt:lpstr>
      <vt:lpstr>не трогать</vt:lpstr>
      <vt:lpstr>KETGAN</vt:lpstr>
      <vt:lpstr>1 chi kurs</vt:lpstr>
      <vt:lpstr>Bitirganlar!Область_печати</vt:lpstr>
      <vt:lpstr>KONTRAKTLAR!Область_печати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Ozodbek Napasov</cp:lastModifiedBy>
  <cp:lastPrinted>2026-10-03T05:41:35Z</cp:lastPrinted>
  <dcterms:created xsi:type="dcterms:W3CDTF">2015-06-05T18:19:34Z</dcterms:created>
  <dcterms:modified xsi:type="dcterms:W3CDTF">2026-10-03T05:41:54Z</dcterms:modified>
</cp:coreProperties>
</file>