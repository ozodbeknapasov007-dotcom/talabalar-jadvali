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Talabalar" sheetId="1" state="visible" r:id="rId1"/>
  </sheets>
  <definedNames>
    <definedName name="Срез_Guruh">#N/A</definedName>
    <definedName name="_xlnm.Print_Area" localSheetId="0">'Talabalar'!$C$12:$H$289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entury"/>
      <charset val="204"/>
      <family val="1"/>
      <color theme="1"/>
      <sz val="14"/>
    </font>
    <font>
      <name val="Century"/>
      <charset val="204"/>
      <family val="1"/>
      <b val="1"/>
      <color theme="1"/>
      <sz val="14"/>
    </font>
    <font>
      <name val="Century"/>
      <charset val="204"/>
      <family val="1"/>
      <color theme="1"/>
      <sz val="12"/>
    </font>
    <font>
      <name val="Century"/>
      <charset val="204"/>
      <family val="1"/>
      <color theme="1"/>
      <sz val="16"/>
    </font>
    <font>
      <name val="Century"/>
      <charset val="204"/>
      <family val="1"/>
      <b val="1"/>
      <color theme="0"/>
      <sz val="16"/>
    </font>
    <font>
      <name val="Century"/>
      <charset val="204"/>
      <family val="1"/>
      <color rgb="FF000000"/>
      <sz val="14"/>
    </font>
  </fonts>
  <fills count="6">
    <fill>
      <patternFill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49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6" fillId="2" borderId="9" applyAlignment="1" pivotButton="0" quotePrefix="0" xfId="0">
      <alignment horizontal="center" vertical="center" wrapText="1"/>
    </xf>
    <xf numFmtId="49" fontId="6" fillId="2" borderId="10" applyAlignment="1" pivotButton="0" quotePrefix="0" xfId="0">
      <alignment horizontal="center" vertical="center" wrapText="1"/>
    </xf>
    <xf numFmtId="49" fontId="6" fillId="2" borderId="11" applyAlignment="1" pivotButton="0" quotePrefix="0" xfId="0">
      <alignment horizontal="center" vertical="center" wrapText="1"/>
    </xf>
    <xf numFmtId="49" fontId="6" fillId="2" borderId="16" applyAlignment="1" pivotButton="0" quotePrefix="0" xfId="0">
      <alignment horizontal="center" vertical="center" wrapText="1"/>
    </xf>
    <xf numFmtId="49" fontId="6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4" fontId="2" fillId="0" borderId="5" applyAlignment="1" pivotButton="0" quotePrefix="0" xfId="0">
      <alignment vertical="center"/>
    </xf>
    <xf numFmtId="49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2" fillId="0" borderId="7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49" fontId="2" fillId="0" borderId="0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49" fontId="2" fillId="0" borderId="7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2" fillId="3" borderId="1" applyAlignment="1" pivotButton="0" quotePrefix="0" xfId="0">
      <alignment vertical="center"/>
    </xf>
    <xf numFmtId="0" fontId="5" fillId="4" borderId="12" applyAlignment="1" pivotButton="0" quotePrefix="0" xfId="0">
      <alignment horizontal="center" vertical="center"/>
    </xf>
    <xf numFmtId="49" fontId="5" fillId="4" borderId="1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14" fontId="2" fillId="0" borderId="2" applyAlignment="1" pivotButton="0" quotePrefix="0" xfId="0">
      <alignment vertical="center"/>
    </xf>
    <xf numFmtId="49" fontId="2" fillId="0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3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14" fontId="2" fillId="0" borderId="1" applyAlignment="1" pivotButton="0" quotePrefix="0" xfId="0">
      <alignment vertical="center"/>
    </xf>
    <xf numFmtId="49" fontId="7" fillId="0" borderId="1" applyAlignment="1" pivotButton="0" quotePrefix="0" xfId="0">
      <alignment horizontal="justify" vertical="center"/>
    </xf>
    <xf numFmtId="0" fontId="2" fillId="5" borderId="1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0" fontId="2" fillId="0" borderId="1" pivotButton="0" quotePrefix="0" xfId="0"/>
    <xf numFmtId="49" fontId="6" fillId="2" borderId="14" applyAlignment="1" pivotButton="0" quotePrefix="0" xfId="0">
      <alignment horizontal="center" vertical="center" wrapText="1"/>
    </xf>
    <xf numFmtId="49" fontId="6" fillId="2" borderId="15" applyAlignment="1" pivotButton="0" quotePrefix="0" xfId="0">
      <alignment horizontal="center" vertical="center" wrapText="1"/>
    </xf>
    <xf numFmtId="0" fontId="0" fillId="0" borderId="19" pivotButton="0" quotePrefix="0" xfId="0"/>
  </cellXfs>
  <cellStyles count="1">
    <cellStyle name="Обычный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alignment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ndense val="0"/>
        <color theme="1"/>
        <extend val="0"/>
        <sz val="14"/>
        <vertAlign val="baseline"/>
      </font>
      <numFmt numFmtId="0" formatCode="General"/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ndense val="0"/>
        <color theme="1"/>
        <extend val="0"/>
        <sz val="14"/>
        <vertAlign val="baseline"/>
      </font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numFmt numFmtId="30" formatCode="@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ndense val="0"/>
        <color theme="1"/>
        <extend val="0"/>
        <sz val="14"/>
        <vertAlign val="baseline"/>
      </font>
      <alignment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alignment vertical="center"/>
    </dxf>
    <dxf>
      <border>
        <bottom style="thin">
          <color indexed="64"/>
        </bottom>
      </border>
    </dxf>
    <dxf>
      <font>
        <name val="Century"/>
        <charset val="204"/>
        <family val="1"/>
        <b val="1"/>
        <strike val="0"/>
        <outline val="0"/>
        <shadow val="0"/>
        <color theme="1"/>
        <sz val="14"/>
        <vertAlign val="baseli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Таблица1" displayName="Таблица1" ref="A12:Q289" headerRowCount="1" totalsRowShown="0" headerRowDxfId="25" dataDxfId="23" headerRowBorderDxfId="24" tableBorderDxfId="22" totalsRowBorderDxfId="21">
  <autoFilter ref="A12:Q289"/>
  <sortState ref="A13:Q289">
    <sortCondition ref="B12:B289"/>
  </sortState>
  <tableColumns count="17">
    <tableColumn id="19" name="Kelgan sanasi" dataDxfId="20"/>
    <tableColumn id="2" name="Guruh" dataDxfId="19"/>
    <tableColumn id="1" name="T/R" dataDxfId="18">
      <calculatedColumnFormula>COUNTIF($B$13:B13,B13)</calculatedColumnFormula>
    </tableColumn>
    <tableColumn id="4" name="Familiyasi" dataDxfId="17"/>
    <tableColumn id="17" name="Ismi" dataDxfId="16"/>
    <tableColumn id="5" name="Otasining ismi" dataDxfId="15"/>
    <tableColumn id="11" name="I.F.O" dataDxfId="14">
      <calculatedColumnFormula>Таблица1[[#This Row],[Familiyasi]]&amp;" "&amp;Таблица1[[#This Row],[Ismi]]&amp;" "&amp;Таблица1[[#This Row],[Otasining ismi]]</calculatedColumnFormula>
    </tableColumn>
    <tableColumn id="9" name="Tug'ilgan Sana" dataDxfId="13"/>
    <tableColumn id="6" name="Pasport/ID" dataDxfId="12"/>
    <tableColumn id="8" name="JSHSHIR _x000a_(PINFL)" dataDxfId="11"/>
    <tableColumn id="10" name="Pasport Berilgan Sana" dataDxfId="10"/>
    <tableColumn id="12" name="Shahodatnoma / Diplom №" dataDxfId="9"/>
    <tableColumn id="13" name="Tugatgan Muassasasi" dataDxfId="8"/>
    <tableColumn id="14" name="Yo'nalishi" dataDxfId="7"/>
    <tableColumn id="15" name="Bitirgan Yili" dataDxfId="6"/>
    <tableColumn id="3" name="Shartnoma №" dataDxfId="5"/>
    <tableColumn id="16" name="Word Fayli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89"/>
  <sheetViews>
    <sheetView tabSelected="1" zoomScale="85" zoomScaleNormal="85" zoomScaleSheetLayoutView="85" workbookViewId="0">
      <selection activeCell="G17" sqref="G17"/>
    </sheetView>
  </sheetViews>
  <sheetFormatPr baseColWidth="8" defaultRowHeight="30" customHeight="1"/>
  <cols>
    <col width="13.875" bestFit="1" customWidth="1" style="23" min="1" max="1"/>
    <col width="13.125" bestFit="1" customWidth="1" style="30" min="2" max="2"/>
    <col width="9.5" bestFit="1" customWidth="1" style="12" min="3" max="3"/>
    <col width="21.75" bestFit="1" customWidth="1" style="23" min="4" max="4"/>
    <col width="15.75" bestFit="1" customWidth="1" style="32" min="5" max="5"/>
    <col width="23.5" bestFit="1" customWidth="1" style="2" min="6" max="6"/>
    <col width="49.375" bestFit="1" customWidth="1" style="2" min="7" max="7"/>
    <col width="17.75" bestFit="1" customWidth="1" style="2" min="8" max="8"/>
    <col width="16.75" customWidth="1" style="23" min="9" max="9"/>
    <col width="27.375" customWidth="1" style="23" min="10" max="10"/>
    <col width="22.25" customWidth="1" style="23" min="11" max="11"/>
    <col width="25.75" bestFit="1" customWidth="1" style="33" min="12" max="12"/>
    <col width="104.5" bestFit="1" customWidth="1" style="23" min="13" max="13"/>
    <col width="29.75" bestFit="1" customWidth="1" style="2" min="14" max="14"/>
    <col width="19.25" bestFit="1" customWidth="1" style="23" min="15" max="15"/>
    <col width="26" bestFit="1" customWidth="1" style="23" min="16" max="16"/>
    <col width="55.25" bestFit="1" customWidth="1" style="23" min="17" max="17"/>
    <col width="17.75" bestFit="1" customWidth="1" style="23" min="18" max="18"/>
    <col width="19.5" bestFit="1" customWidth="1" style="23" min="19" max="19"/>
    <col width="46.5" bestFit="1" customWidth="1" style="23" min="20" max="20"/>
    <col width="12.125" customWidth="1" style="23" min="21" max="21"/>
    <col width="39.875" bestFit="1" customWidth="1" style="23" min="22" max="22"/>
    <col width="9" customWidth="1" style="23" min="23" max="16384"/>
  </cols>
  <sheetData>
    <row r="1" ht="18.75" customFormat="1" customHeight="1" s="1" thickBot="1">
      <c r="B1" s="27" t="n"/>
      <c r="C1" s="2" t="n"/>
      <c r="H1" s="2" t="n"/>
      <c r="J1" s="3" t="n"/>
      <c r="P1" s="3" t="n"/>
    </row>
    <row r="2" ht="20.25" customFormat="1" customHeight="1" s="1">
      <c r="B2" s="27" t="n"/>
      <c r="C2" s="2" t="n"/>
      <c r="D2" s="13" t="inlineStr">
        <is>
          <t>Guruh rahbari</t>
        </is>
      </c>
      <c r="E2" s="14" t="inlineStr">
        <is>
          <t>Yangi</t>
        </is>
      </c>
      <c r="F2" s="15" t="inlineStr">
        <is>
          <t>Soni</t>
        </is>
      </c>
      <c r="G2" s="17" t="n"/>
      <c r="H2" s="2" t="n"/>
      <c r="N2" s="3" t="n"/>
    </row>
    <row r="3" ht="20.25" customFormat="1" customHeight="1" s="1">
      <c r="B3" s="27" t="n"/>
      <c r="C3" s="2" t="n"/>
      <c r="D3" s="35" t="inlineStr">
        <is>
          <t>Mirzayeva.D</t>
        </is>
      </c>
      <c r="E3" s="36" t="inlineStr">
        <is>
          <t>26-01</t>
        </is>
      </c>
      <c r="F3" s="37">
        <f>COUNTIF($B$13:$B$656,E3)</f>
        <v/>
      </c>
      <c r="G3" s="18" t="n"/>
      <c r="H3" s="2" t="n"/>
      <c r="N3" s="3" t="n"/>
    </row>
    <row r="4" ht="20.25" customFormat="1" customHeight="1" s="1">
      <c r="B4" s="27" t="n"/>
      <c r="C4" s="2" t="n"/>
      <c r="D4" s="35" t="inlineStr">
        <is>
          <t>Ochilov.D</t>
        </is>
      </c>
      <c r="E4" s="36" t="inlineStr">
        <is>
          <t>26-02</t>
        </is>
      </c>
      <c r="F4" s="37">
        <f>COUNTIF($B$13:$B$656,E4)</f>
        <v/>
      </c>
      <c r="G4" s="18" t="n"/>
      <c r="H4" s="2" t="n"/>
      <c r="N4" s="3" t="n"/>
    </row>
    <row r="5" ht="20.25" customFormat="1" customHeight="1" s="1">
      <c r="B5" s="27" t="n"/>
      <c r="C5" s="2" t="n"/>
      <c r="D5" s="35" t="inlineStr">
        <is>
          <t>To'rayeva.S</t>
        </is>
      </c>
      <c r="E5" s="36" t="inlineStr">
        <is>
          <t>26-03</t>
        </is>
      </c>
      <c r="F5" s="37">
        <f>COUNTIF($B$13:$B$656,E5)</f>
        <v/>
      </c>
      <c r="G5" s="18" t="n"/>
      <c r="H5" s="2" t="n"/>
      <c r="N5" s="3" t="n"/>
    </row>
    <row r="6" ht="20.25" customFormat="1" customHeight="1" s="1">
      <c r="B6" s="27" t="n"/>
      <c r="C6" s="2" t="n"/>
      <c r="D6" s="35" t="inlineStr">
        <is>
          <t>Hamdamova.M</t>
        </is>
      </c>
      <c r="E6" s="36" t="inlineStr">
        <is>
          <t>26-04</t>
        </is>
      </c>
      <c r="F6" s="37">
        <f>COUNTIF($B$13:$B$656,E6)</f>
        <v/>
      </c>
      <c r="G6" s="18" t="n"/>
      <c r="H6" s="2" t="n"/>
      <c r="N6" s="3" t="n"/>
    </row>
    <row r="7" ht="20.25" customFormat="1" customHeight="1" s="1">
      <c r="B7" s="27" t="n"/>
      <c r="C7" s="2" t="n"/>
      <c r="D7" s="35" t="inlineStr">
        <is>
          <t>Rayimova.X</t>
        </is>
      </c>
      <c r="E7" s="36" t="inlineStr">
        <is>
          <t>26-05</t>
        </is>
      </c>
      <c r="F7" s="37">
        <f>COUNTIF($B$13:$B$656,E7)</f>
        <v/>
      </c>
      <c r="G7" s="18" t="n"/>
      <c r="H7" s="2" t="n"/>
      <c r="N7" s="3" t="n"/>
    </row>
    <row r="8" ht="20.25" customFormat="1" customHeight="1" s="1">
      <c r="B8" s="27" t="n"/>
      <c r="C8" s="2" t="n"/>
      <c r="D8" s="35" t="inlineStr">
        <is>
          <t>Yuldashev.O</t>
        </is>
      </c>
      <c r="E8" s="36" t="inlineStr">
        <is>
          <t>26-06</t>
        </is>
      </c>
      <c r="F8" s="37">
        <f>COUNTIF($B$13:$B$656,E8)</f>
        <v/>
      </c>
      <c r="G8" s="18" t="n"/>
      <c r="H8" s="2" t="n"/>
      <c r="N8" s="3" t="n"/>
    </row>
    <row r="9" ht="20.25" customFormat="1" customHeight="1" s="1">
      <c r="B9" s="27" t="n"/>
      <c r="C9" s="2" t="n"/>
      <c r="D9" s="35" t="inlineStr">
        <is>
          <t>Asraliyev.A</t>
        </is>
      </c>
      <c r="E9" s="36" t="inlineStr">
        <is>
          <t>26-07</t>
        </is>
      </c>
      <c r="F9" s="37">
        <f>COUNTIF($B$13:$B$656,E9)</f>
        <v/>
      </c>
      <c r="G9" s="18" t="n"/>
      <c r="H9" s="2" t="n"/>
      <c r="N9" s="3" t="n"/>
    </row>
    <row r="10" ht="21" customFormat="1" customHeight="1" s="1" thickBot="1">
      <c r="B10" s="27" t="n"/>
      <c r="C10" s="2" t="n"/>
      <c r="D10" s="50" t="inlineStr">
        <is>
          <t>Jami</t>
        </is>
      </c>
      <c r="E10" s="52" t="n"/>
      <c r="F10" s="16">
        <f>SUM(F3:F9)</f>
        <v/>
      </c>
      <c r="G10" s="17" t="n"/>
      <c r="H10" s="2" t="n"/>
      <c r="N10" s="3" t="n"/>
    </row>
    <row r="11" ht="18" customFormat="1" customHeight="1" s="1">
      <c r="B11" s="27" t="n"/>
      <c r="C11" s="2" t="n"/>
      <c r="H11" s="2" t="n"/>
      <c r="J11" s="3" t="n"/>
      <c r="P11" s="3" t="n"/>
    </row>
    <row r="12" ht="49.5" customFormat="1" customHeight="1" s="8">
      <c r="A12" s="4" t="inlineStr">
        <is>
          <t>Kelgan sanasi</t>
        </is>
      </c>
      <c r="B12" s="6" t="inlineStr">
        <is>
          <t>Guruh</t>
        </is>
      </c>
      <c r="C12" s="4" t="inlineStr">
        <is>
          <t>T/R</t>
        </is>
      </c>
      <c r="D12" s="6" t="inlineStr">
        <is>
          <t>Familiyasi</t>
        </is>
      </c>
      <c r="E12" s="6" t="inlineStr">
        <is>
          <t>Ismi</t>
        </is>
      </c>
      <c r="F12" s="5" t="inlineStr">
        <is>
          <t>Otasining ismi</t>
        </is>
      </c>
      <c r="G12" s="5" t="inlineStr">
        <is>
          <t>I.F.O</t>
        </is>
      </c>
      <c r="H12" s="5" t="inlineStr">
        <is>
          <t>Tug'ilgan Sana</t>
        </is>
      </c>
      <c r="I12" s="5" t="inlineStr">
        <is>
          <t>Pasport/ID</t>
        </is>
      </c>
      <c r="J12" s="5" t="inlineStr">
        <is>
          <t>JSHSHIR 
(PINFL)</t>
        </is>
      </c>
      <c r="K12" s="5" t="inlineStr">
        <is>
          <t>Pasport Berilgan Sana</t>
        </is>
      </c>
      <c r="L12" s="5" t="inlineStr">
        <is>
          <t>Shahodatnoma / Diplom №</t>
        </is>
      </c>
      <c r="M12" s="5" t="inlineStr">
        <is>
          <t>Tugatgan Muassasasi</t>
        </is>
      </c>
      <c r="N12" s="5" t="inlineStr">
        <is>
          <t>Yo'nalishi</t>
        </is>
      </c>
      <c r="O12" s="5" t="inlineStr">
        <is>
          <t>Bitirgan Yili</t>
        </is>
      </c>
      <c r="P12" s="5" t="inlineStr">
        <is>
          <t>Shartnoma №</t>
        </is>
      </c>
      <c r="Q12" s="7" t="inlineStr">
        <is>
          <t>Word Fayli</t>
        </is>
      </c>
    </row>
    <row r="13" ht="30" customHeight="1">
      <c r="A13" s="19" t="n">
        <v>46283</v>
      </c>
      <c r="B13" s="28" t="inlineStr">
        <is>
          <t>26-01</t>
        </is>
      </c>
      <c r="C13" s="10">
        <f>COUNTIF($B$13:B13,B13)</f>
        <v/>
      </c>
      <c r="D13" s="20" t="inlineStr">
        <is>
          <t xml:space="preserve"> Axmedova </t>
        </is>
      </c>
      <c r="E13" s="20" t="inlineStr">
        <is>
          <t>Saodat</t>
        </is>
      </c>
      <c r="F13" s="21" t="n"/>
      <c r="G13" s="21">
        <f>Таблица1[[#This Row],[Familiyasi]]&amp;" "&amp;Таблица1[[#This Row],[Ismi]]&amp;" "&amp;Таблица1[[#This Row],[Otasining ismi]]</f>
        <v/>
      </c>
      <c r="H13" s="9" t="n"/>
      <c r="I13" s="21" t="n"/>
      <c r="J13" s="9" t="n"/>
      <c r="K13" s="21" t="n"/>
      <c r="L13" s="21" t="n"/>
      <c r="M13" s="21" t="n"/>
      <c r="N13" s="21" t="n"/>
      <c r="O13" s="21" t="n"/>
      <c r="P13" s="9" t="n"/>
      <c r="Q13" s="22" t="n"/>
    </row>
    <row r="14" ht="30" customHeight="1">
      <c r="A14" s="19" t="n">
        <v>46267</v>
      </c>
      <c r="B14" s="28" t="inlineStr">
        <is>
          <t>26-01</t>
        </is>
      </c>
      <c r="C14" s="10">
        <f>COUNTIF($B$13:B14,B14)</f>
        <v/>
      </c>
      <c r="D14" s="20" t="inlineStr">
        <is>
          <t>Abdurahmonova</t>
        </is>
      </c>
      <c r="E14" s="20" t="inlineStr">
        <is>
          <t>Parvinabonu</t>
        </is>
      </c>
      <c r="F14" s="21" t="inlineStr">
        <is>
          <t>Alisher qizi</t>
        </is>
      </c>
      <c r="G14" s="21">
        <f>Таблица1[[#This Row],[Familiyasi]]&amp;" "&amp;Таблица1[[#This Row],[Ismi]]&amp;" "&amp;Таблица1[[#This Row],[Otasining ismi]]</f>
        <v/>
      </c>
      <c r="H14" s="9" t="inlineStr">
        <is>
          <t>14.02.2009</t>
        </is>
      </c>
      <c r="I14" s="21" t="inlineStr">
        <is>
          <t>ae2261219</t>
        </is>
      </c>
      <c r="J14" s="9" t="inlineStr">
        <is>
          <t>61402095680050</t>
        </is>
      </c>
      <c r="K14" s="21" t="inlineStr">
        <is>
          <t>09.04.2025</t>
        </is>
      </c>
      <c r="L14" s="21" t="inlineStr">
        <is>
          <t>um 03727987</t>
        </is>
      </c>
      <c r="M14" s="21" t="inlineStr">
        <is>
          <t>4-sonli umumiy o'rta ta'lim maktabi</t>
        </is>
      </c>
      <c r="N14" s="21" t="inlineStr">
        <is>
          <t>hamshiralik ishi - 3 yillik</t>
        </is>
      </c>
      <c r="O14" s="21" t="inlineStr">
        <is>
          <t>2026</t>
        </is>
      </c>
      <c r="P14" s="9" t="inlineStr">
        <is>
          <t>203</t>
        </is>
      </c>
      <c r="Q14" s="22" t="inlineStr">
        <is>
          <t>abdurahmonova  parvina 203.docx</t>
        </is>
      </c>
    </row>
    <row r="15" ht="30" customHeight="1">
      <c r="A15" s="19" t="n">
        <v>46267</v>
      </c>
      <c r="B15" s="28" t="inlineStr">
        <is>
          <t>26-01</t>
        </is>
      </c>
      <c r="C15" s="10">
        <f>COUNTIF($B$13:B15,B15)</f>
        <v/>
      </c>
      <c r="D15" s="20" t="inlineStr">
        <is>
          <t>Arziqulova</t>
        </is>
      </c>
      <c r="E15" s="20" t="inlineStr">
        <is>
          <t>Amina</t>
        </is>
      </c>
      <c r="F15" s="21" t="inlineStr">
        <is>
          <t>Salohiddin qizi</t>
        </is>
      </c>
      <c r="G15" s="21">
        <f>Таблица1[[#This Row],[Familiyasi]]&amp;" "&amp;Таблица1[[#This Row],[Ismi]]&amp;" "&amp;Таблица1[[#This Row],[Otasining ismi]]</f>
        <v/>
      </c>
      <c r="H15" s="9" t="inlineStr">
        <is>
          <t>12.04.2008</t>
        </is>
      </c>
      <c r="I15" s="21" t="inlineStr">
        <is>
          <t>ad6876141</t>
        </is>
      </c>
      <c r="J15" s="9" t="inlineStr">
        <is>
          <t>61204085590053</t>
        </is>
      </c>
      <c r="K15" s="21" t="inlineStr">
        <is>
          <t>18.04.2024</t>
        </is>
      </c>
      <c r="L15" s="21" t="inlineStr">
        <is>
          <t>um 03752576</t>
        </is>
      </c>
      <c r="M15" s="21" t="inlineStr">
        <is>
          <t>15-sonli umumiy o'rta ta'lim maktabi</t>
        </is>
      </c>
      <c r="N15" s="21" t="inlineStr">
        <is>
          <t>farmatsiya ishi</t>
        </is>
      </c>
      <c r="O15" s="21" t="inlineStr">
        <is>
          <t>2026</t>
        </is>
      </c>
      <c r="P15" s="9" t="inlineStr">
        <is>
          <t>182</t>
        </is>
      </c>
      <c r="Q15" s="22" t="inlineStr">
        <is>
          <t>arziqulova amina 182.docx</t>
        </is>
      </c>
    </row>
    <row r="16" ht="30" customHeight="1">
      <c r="A16" s="19" t="n">
        <v>46283</v>
      </c>
      <c r="B16" s="28" t="inlineStr">
        <is>
          <t>26-01</t>
        </is>
      </c>
      <c r="C16" s="10">
        <f>COUNTIF($B$13:B16,B16)</f>
        <v/>
      </c>
      <c r="D16" s="21" t="inlineStr">
        <is>
          <t>Axmedova</t>
        </is>
      </c>
      <c r="E16" s="20" t="inlineStr">
        <is>
          <t>Saodat</t>
        </is>
      </c>
      <c r="F16" s="21" t="n"/>
      <c r="G16" s="21">
        <f>Таблица1[[#This Row],[Familiyasi]]&amp;" "&amp;Таблица1[[#This Row],[Ismi]]&amp;" "&amp;Таблица1[[#This Row],[Otasining ismi]]</f>
        <v/>
      </c>
      <c r="H16" s="9" t="n"/>
      <c r="I16" s="21" t="n"/>
      <c r="J16" s="9" t="n"/>
      <c r="K16" s="21" t="n"/>
      <c r="L16" s="21" t="n"/>
      <c r="M16" s="21" t="n"/>
      <c r="N16" s="21" t="n"/>
      <c r="O16" s="21" t="n"/>
      <c r="P16" s="9" t="n"/>
      <c r="Q16" s="22" t="n"/>
    </row>
    <row r="17" ht="30" customHeight="1">
      <c r="A17" s="19" t="n">
        <v>46267</v>
      </c>
      <c r="B17" s="28" t="inlineStr">
        <is>
          <t>26-01</t>
        </is>
      </c>
      <c r="C17" s="10">
        <f>COUNTIF($B$13:B17,B17)</f>
        <v/>
      </c>
      <c r="D17" s="20" t="inlineStr">
        <is>
          <t>Azamatova</t>
        </is>
      </c>
      <c r="E17" s="20" t="inlineStr">
        <is>
          <t>Charos</t>
        </is>
      </c>
      <c r="F17" s="21" t="inlineStr">
        <is>
          <t>Abdiaziz qizi</t>
        </is>
      </c>
      <c r="G17" s="21">
        <f>Таблица1[[#This Row],[Familiyasi]]&amp;" "&amp;Таблица1[[#This Row],[Ismi]]&amp;" "&amp;Таблица1[[#This Row],[Otasining ismi]]</f>
        <v/>
      </c>
      <c r="H17" s="9" t="inlineStr">
        <is>
          <t>11.02.2008</t>
        </is>
      </c>
      <c r="I17" s="21" t="inlineStr">
        <is>
          <t>ae1520971</t>
        </is>
      </c>
      <c r="J17" s="9" t="inlineStr">
        <is>
          <t>61102085590018</t>
        </is>
      </c>
      <c r="K17" s="21" t="inlineStr">
        <is>
          <t>06.02.2025</t>
        </is>
      </c>
      <c r="L17" s="21" t="inlineStr">
        <is>
          <t>um 03754638</t>
        </is>
      </c>
      <c r="M17" s="21" t="inlineStr">
        <is>
          <t>39-sonli umumiy o'rta ta'lim maktabi</t>
        </is>
      </c>
      <c r="N17" s="21" t="inlineStr">
        <is>
          <t>farmatsiya ishi</t>
        </is>
      </c>
      <c r="O17" s="21" t="inlineStr">
        <is>
          <t>2026</t>
        </is>
      </c>
      <c r="P17" s="9" t="inlineStr">
        <is>
          <t>229</t>
        </is>
      </c>
      <c r="Q17" s="22" t="inlineStr">
        <is>
          <t>azamatova charos  229.docx</t>
        </is>
      </c>
    </row>
    <row r="18" ht="30" customHeight="1">
      <c r="A18" s="19" t="n">
        <v>46267</v>
      </c>
      <c r="B18" s="28" t="inlineStr">
        <is>
          <t>26-01</t>
        </is>
      </c>
      <c r="C18" s="10">
        <f>COUNTIF($B$13:B18,B18)</f>
        <v/>
      </c>
      <c r="D18" s="20" t="inlineStr">
        <is>
          <t>G'iyosova</t>
        </is>
      </c>
      <c r="E18" s="20" t="inlineStr">
        <is>
          <t>Shodiyona</t>
        </is>
      </c>
      <c r="F18" s="21" t="n"/>
      <c r="G18" s="21">
        <f>Таблица1[[#This Row],[Familiyasi]]&amp;" "&amp;Таблица1[[#This Row],[Ismi]]&amp;" "&amp;Таблица1[[#This Row],[Otasining ismi]]</f>
        <v/>
      </c>
      <c r="H18" s="9" t="inlineStr"/>
      <c r="I18" s="21" t="inlineStr"/>
      <c r="J18" s="9" t="inlineStr"/>
      <c r="K18" s="21" t="inlineStr"/>
      <c r="L18" s="21" t="inlineStr"/>
      <c r="M18" s="21" t="inlineStr"/>
      <c r="N18" s="21" t="inlineStr">
        <is>
          <t>hamshiralik ishi - 3 yillik</t>
        </is>
      </c>
      <c r="O18" s="21" t="inlineStr"/>
      <c r="P18" s="9" t="inlineStr">
        <is>
          <t>125</t>
        </is>
      </c>
      <c r="Q18" s="22" t="inlineStr"/>
    </row>
    <row r="19" ht="30" customHeight="1">
      <c r="A19" s="19" t="n">
        <v>46267</v>
      </c>
      <c r="B19" s="28" t="inlineStr">
        <is>
          <t>26-01</t>
        </is>
      </c>
      <c r="C19" s="10">
        <f>COUNTIF($B$13:B19,B19)</f>
        <v/>
      </c>
      <c r="D19" s="20" t="inlineStr">
        <is>
          <t>Hazratova</t>
        </is>
      </c>
      <c r="E19" s="20" t="inlineStr">
        <is>
          <t>Farzona</t>
        </is>
      </c>
      <c r="F19" s="21" t="inlineStr">
        <is>
          <t>Toshkand qizi</t>
        </is>
      </c>
      <c r="G19" s="21">
        <f>Таблица1[[#This Row],[Familiyasi]]&amp;" "&amp;Таблица1[[#This Row],[Ismi]]&amp;" "&amp;Таблица1[[#This Row],[Otasining ismi]]</f>
        <v/>
      </c>
      <c r="H19" s="9" t="inlineStr">
        <is>
          <t>23.05.2007</t>
        </is>
      </c>
      <c r="I19" s="21" t="inlineStr">
        <is>
          <t>ad5641030</t>
        </is>
      </c>
      <c r="J19" s="9" t="inlineStr">
        <is>
          <t>62305075590039</t>
        </is>
      </c>
      <c r="K19" s="21" t="inlineStr">
        <is>
          <t>06.01.2024</t>
        </is>
      </c>
      <c r="L19" s="21" t="inlineStr">
        <is>
          <t>um 02167009</t>
        </is>
      </c>
      <c r="M19" s="21" t="inlineStr">
        <is>
          <t>26-sonli umumiy o'rta ta'lim maktabi</t>
        </is>
      </c>
      <c r="N19" s="21" t="inlineStr">
        <is>
          <t>farmatsiya ishi</t>
        </is>
      </c>
      <c r="O19" s="21" t="inlineStr">
        <is>
          <t>2024</t>
        </is>
      </c>
      <c r="P19" s="9" t="inlineStr">
        <is>
          <t>167</t>
        </is>
      </c>
      <c r="Q19" s="22" t="inlineStr">
        <is>
          <t>hazratova farzona 167.docx</t>
        </is>
      </c>
    </row>
    <row r="20" ht="30" customHeight="1">
      <c r="A20" s="19" t="n">
        <v>46267</v>
      </c>
      <c r="B20" s="28" t="inlineStr">
        <is>
          <t>26-01</t>
        </is>
      </c>
      <c r="C20" s="10">
        <f>COUNTIF($B$13:B20,B20)</f>
        <v/>
      </c>
      <c r="D20" s="20" t="inlineStr">
        <is>
          <t>Ibodullayeva</t>
        </is>
      </c>
      <c r="E20" s="20" t="inlineStr">
        <is>
          <t>Asilzoda</t>
        </is>
      </c>
      <c r="F20" s="21" t="inlineStr">
        <is>
          <t>Latif qizi</t>
        </is>
      </c>
      <c r="G20" s="21">
        <f>Таблица1[[#This Row],[Familiyasi]]&amp;" "&amp;Таблица1[[#This Row],[Ismi]]&amp;" "&amp;Таблица1[[#This Row],[Otasining ismi]]</f>
        <v/>
      </c>
      <c r="H20" s="9" t="inlineStr"/>
      <c r="I20" s="21" t="inlineStr"/>
      <c r="J20" s="9" t="inlineStr"/>
      <c r="K20" s="21" t="inlineStr"/>
      <c r="L20" s="21" t="inlineStr"/>
      <c r="M20" s="21" t="inlineStr"/>
      <c r="N20" s="21" t="inlineStr">
        <is>
          <t>hamshiralik ishi - 3 yillik</t>
        </is>
      </c>
      <c r="O20" s="21" t="inlineStr"/>
      <c r="P20" s="9" t="inlineStr">
        <is>
          <t>129</t>
        </is>
      </c>
      <c r="Q20" s="22" t="inlineStr"/>
    </row>
    <row r="21" ht="30" customHeight="1">
      <c r="A21" s="19" t="n">
        <v>46267</v>
      </c>
      <c r="B21" s="28" t="inlineStr">
        <is>
          <t>26-01</t>
        </is>
      </c>
      <c r="C21" s="10">
        <f>COUNTIF($B$13:B21,B21)</f>
        <v/>
      </c>
      <c r="D21" s="20" t="inlineStr">
        <is>
          <t>Majidova</t>
        </is>
      </c>
      <c r="E21" s="20" t="inlineStr">
        <is>
          <t>Namuna</t>
        </is>
      </c>
      <c r="F21" s="21" t="inlineStr">
        <is>
          <t>Shunqor qizi</t>
        </is>
      </c>
      <c r="G21" s="21">
        <f>Таблица1[[#This Row],[Familiyasi]]&amp;" "&amp;Таблица1[[#This Row],[Ismi]]&amp;" "&amp;Таблица1[[#This Row],[Otasining ismi]]</f>
        <v/>
      </c>
      <c r="H21" s="9" t="inlineStr">
        <is>
          <t>11.06.2000</t>
        </is>
      </c>
      <c r="I21" s="21" t="inlineStr">
        <is>
          <t>ab6959094</t>
        </is>
      </c>
      <c r="J21" s="9" t="inlineStr">
        <is>
          <t>61106005680025</t>
        </is>
      </c>
      <c r="K21" s="21" t="inlineStr">
        <is>
          <t>20.06.2017</t>
        </is>
      </c>
      <c r="L21" s="21" t="inlineStr">
        <is>
          <t>k 5487890</t>
        </is>
      </c>
      <c r="M21" s="21" t="inlineStr">
        <is>
          <t>kitob qishloq xo'jalik kasb-hunar kolleji</t>
        </is>
      </c>
      <c r="N21" s="21" t="inlineStr">
        <is>
          <t>farmatsiya ishi</t>
        </is>
      </c>
      <c r="O21" s="21" t="inlineStr">
        <is>
          <t>2019</t>
        </is>
      </c>
      <c r="P21" s="9" t="inlineStr">
        <is>
          <t>12</t>
        </is>
      </c>
      <c r="Q21" s="22" t="inlineStr">
        <is>
          <t>majidova namuna 12.docx</t>
        </is>
      </c>
    </row>
    <row r="22" ht="30" customHeight="1">
      <c r="A22" s="19" t="n">
        <v>46283</v>
      </c>
      <c r="B22" s="28" t="inlineStr">
        <is>
          <t>26-01</t>
        </is>
      </c>
      <c r="C22" s="10">
        <f>COUNTIF($B$13:B22,B22)</f>
        <v/>
      </c>
      <c r="D22" s="20" t="inlineStr">
        <is>
          <t>Miliyeva</t>
        </is>
      </c>
      <c r="E22" s="20" t="inlineStr">
        <is>
          <t>Umida</t>
        </is>
      </c>
      <c r="F22" s="21" t="n"/>
      <c r="G22" s="21">
        <f>Таблица1[[#This Row],[Familiyasi]]&amp;" "&amp;Таблица1[[#This Row],[Ismi]]&amp;" "&amp;Таблица1[[#This Row],[Otasining ismi]]</f>
        <v/>
      </c>
      <c r="H22" s="9" t="n"/>
      <c r="I22" s="21" t="n"/>
      <c r="J22" s="9" t="n"/>
      <c r="K22" s="21" t="n"/>
      <c r="L22" s="21" t="n"/>
      <c r="M22" s="21" t="n"/>
      <c r="N22" s="21" t="n"/>
      <c r="O22" s="21" t="n"/>
      <c r="P22" s="9" t="n"/>
      <c r="Q22" s="22" t="n"/>
    </row>
    <row r="23" ht="30" customHeight="1">
      <c r="A23" s="19" t="n">
        <v>46267</v>
      </c>
      <c r="B23" s="28" t="inlineStr">
        <is>
          <t>26-01</t>
        </is>
      </c>
      <c r="C23" s="10">
        <f>COUNTIF($B$13:B23,B23)</f>
        <v/>
      </c>
      <c r="D23" s="20" t="inlineStr">
        <is>
          <t>Murodullayev</t>
        </is>
      </c>
      <c r="E23" s="20" t="inlineStr">
        <is>
          <t>Azizbek</t>
        </is>
      </c>
      <c r="F23" s="21" t="inlineStr">
        <is>
          <t>Odiljon o'g'li</t>
        </is>
      </c>
      <c r="G23" s="21">
        <f>Таблица1[[#This Row],[Familiyasi]]&amp;" "&amp;Таблица1[[#This Row],[Ismi]]&amp;" "&amp;Таблица1[[#This Row],[Otasining ismi]]</f>
        <v/>
      </c>
      <c r="H23" s="9" t="inlineStr">
        <is>
          <t>20.11.2007</t>
        </is>
      </c>
      <c r="I23" s="21" t="inlineStr">
        <is>
          <t>ad6281528</t>
        </is>
      </c>
      <c r="J23" s="9" t="inlineStr">
        <is>
          <t>52011075590034</t>
        </is>
      </c>
      <c r="K23" s="21" t="inlineStr">
        <is>
          <t>26.02.2024</t>
        </is>
      </c>
      <c r="L23" s="21" t="inlineStr">
        <is>
          <t>um 03296171</t>
        </is>
      </c>
      <c r="M23" s="21" t="inlineStr">
        <is>
          <t>14-sonli umumiy o'rta ta'lim maktabi</t>
        </is>
      </c>
      <c r="N23" s="21" t="inlineStr">
        <is>
          <t>farmatsiya ishi</t>
        </is>
      </c>
      <c r="O23" s="21" t="inlineStr">
        <is>
          <t>2025</t>
        </is>
      </c>
      <c r="P23" s="9" t="inlineStr">
        <is>
          <t>175</t>
        </is>
      </c>
      <c r="Q23" s="22" t="inlineStr">
        <is>
          <t>murodullayev azizbek 175.docx</t>
        </is>
      </c>
    </row>
    <row r="24" ht="30" customHeight="1">
      <c r="A24" s="19" t="n">
        <v>46267</v>
      </c>
      <c r="B24" s="28" t="inlineStr">
        <is>
          <t>26-01</t>
        </is>
      </c>
      <c r="C24" s="10">
        <f>COUNTIF($B$13:B24,B24)</f>
        <v/>
      </c>
      <c r="D24" s="20" t="inlineStr">
        <is>
          <t>Numonova</t>
        </is>
      </c>
      <c r="E24" s="20" t="inlineStr">
        <is>
          <t>Jasmina</t>
        </is>
      </c>
      <c r="F24" s="21" t="inlineStr">
        <is>
          <t>Baxodir qizi</t>
        </is>
      </c>
      <c r="G24" s="21">
        <f>Таблица1[[#This Row],[Familiyasi]]&amp;" "&amp;Таблица1[[#This Row],[Ismi]]&amp;" "&amp;Таблица1[[#This Row],[Otasining ismi]]</f>
        <v/>
      </c>
      <c r="H24" s="9" t="inlineStr">
        <is>
          <t>17.05.2008</t>
        </is>
      </c>
      <c r="I24" s="21" t="inlineStr">
        <is>
          <t>ae1748671</t>
        </is>
      </c>
      <c r="J24" s="9" t="inlineStr">
        <is>
          <t>61705085590020</t>
        </is>
      </c>
      <c r="K24" s="21" t="inlineStr">
        <is>
          <t>25.02.2025</t>
        </is>
      </c>
      <c r="L24" s="21" t="inlineStr">
        <is>
          <t>um 03751929</t>
        </is>
      </c>
      <c r="M24" s="21" t="inlineStr">
        <is>
          <t>7-sonli umumiy o'rta ta'lim maktabi</t>
        </is>
      </c>
      <c r="N24" s="21" t="inlineStr">
        <is>
          <t>hamshiralik ishi - 3 yillik</t>
        </is>
      </c>
      <c r="O24" s="21" t="inlineStr">
        <is>
          <t>2026</t>
        </is>
      </c>
      <c r="P24" s="9" t="inlineStr">
        <is>
          <t>106</t>
        </is>
      </c>
      <c r="Q24" s="22" t="inlineStr">
        <is>
          <t>numonova jasmina 106.docx</t>
        </is>
      </c>
    </row>
    <row r="25" ht="30" customHeight="1">
      <c r="A25" s="19" t="n">
        <v>46267</v>
      </c>
      <c r="B25" s="28" t="inlineStr">
        <is>
          <t>26-01</t>
        </is>
      </c>
      <c r="C25" s="10">
        <f>COUNTIF($B$13:B25,B25)</f>
        <v/>
      </c>
      <c r="D25" s="20" t="inlineStr">
        <is>
          <t>Ravshanova</t>
        </is>
      </c>
      <c r="E25" s="20" t="inlineStr">
        <is>
          <t>Ruxshona</t>
        </is>
      </c>
      <c r="F25" s="21" t="inlineStr">
        <is>
          <t>Radju qizi</t>
        </is>
      </c>
      <c r="G25" s="21">
        <f>Таблица1[[#This Row],[Familiyasi]]&amp;" "&amp;Таблица1[[#This Row],[Ismi]]&amp;" "&amp;Таблица1[[#This Row],[Otasining ismi]]</f>
        <v/>
      </c>
      <c r="H25" s="9" t="inlineStr">
        <is>
          <t>02.04.2009</t>
        </is>
      </c>
      <c r="I25" s="21" t="inlineStr">
        <is>
          <t>ae6085379</t>
        </is>
      </c>
      <c r="J25" s="9" t="inlineStr">
        <is>
          <t>60204095590028</t>
        </is>
      </c>
      <c r="K25" s="21" t="inlineStr">
        <is>
          <t>28.01.2026</t>
        </is>
      </c>
      <c r="L25" s="21" t="inlineStr">
        <is>
          <t>um 03727735</t>
        </is>
      </c>
      <c r="M25" s="21" t="inlineStr">
        <is>
          <t>1-sonli umumiy o'rta ta'lim maktabi</t>
        </is>
      </c>
      <c r="N25" s="21" t="inlineStr">
        <is>
          <t>farmatsiya ishi</t>
        </is>
      </c>
      <c r="O25" s="21" t="inlineStr">
        <is>
          <t>2026</t>
        </is>
      </c>
      <c r="P25" s="9" t="inlineStr">
        <is>
          <t>160</t>
        </is>
      </c>
      <c r="Q25" s="22" t="inlineStr">
        <is>
          <t>ravshanova ruxshona 160.docx</t>
        </is>
      </c>
    </row>
    <row r="26" ht="30" customHeight="1">
      <c r="A26" s="19" t="n">
        <v>46283</v>
      </c>
      <c r="B26" s="28" t="inlineStr">
        <is>
          <t>26-01</t>
        </is>
      </c>
      <c r="C26" s="10">
        <f>COUNTIF($B$13:B26,B26)</f>
        <v/>
      </c>
      <c r="D26" s="20" t="inlineStr">
        <is>
          <t>Turayeva</t>
        </is>
      </c>
      <c r="E26" s="20" t="inlineStr">
        <is>
          <t>Dilsuz</t>
        </is>
      </c>
      <c r="F26" s="21" t="n"/>
      <c r="G26" s="21">
        <f>Таблица1[[#This Row],[Familiyasi]]&amp;" "&amp;Таблица1[[#This Row],[Ismi]]&amp;" "&amp;Таблица1[[#This Row],[Otasining ismi]]</f>
        <v/>
      </c>
      <c r="H26" s="9" t="n"/>
      <c r="I26" s="21" t="n"/>
      <c r="J26" s="9" t="n"/>
      <c r="K26" s="21" t="n"/>
      <c r="L26" s="21" t="n"/>
      <c r="M26" s="21" t="n"/>
      <c r="N26" s="21" t="n"/>
      <c r="O26" s="21" t="n"/>
      <c r="P26" s="9" t="n"/>
      <c r="Q26" s="22" t="n"/>
    </row>
    <row r="27" ht="30" customHeight="1">
      <c r="A27" s="19" t="n">
        <v>46267</v>
      </c>
      <c r="B27" s="28" t="inlineStr">
        <is>
          <t>26-01</t>
        </is>
      </c>
      <c r="C27" s="10">
        <f>COUNTIF($B$13:B27,B27)</f>
        <v/>
      </c>
      <c r="D27" s="20" t="inlineStr">
        <is>
          <t>Turg'unova</t>
        </is>
      </c>
      <c r="E27" s="20" t="inlineStr">
        <is>
          <t>Jasmina</t>
        </is>
      </c>
      <c r="F27" s="21" t="inlineStr">
        <is>
          <t>Turg'un qizi</t>
        </is>
      </c>
      <c r="G27" s="21">
        <f>Таблица1[[#This Row],[Familiyasi]]&amp;" "&amp;Таблица1[[#This Row],[Ismi]]&amp;" "&amp;Таблица1[[#This Row],[Otasining ismi]]</f>
        <v/>
      </c>
      <c r="H27" s="9" t="inlineStr">
        <is>
          <t>28.02.2008</t>
        </is>
      </c>
      <c r="I27" s="21" t="inlineStr">
        <is>
          <t>ae6171425</t>
        </is>
      </c>
      <c r="J27" s="9" t="inlineStr">
        <is>
          <t>62802085590087</t>
        </is>
      </c>
      <c r="K27" s="21" t="inlineStr">
        <is>
          <t>03.02.2026</t>
        </is>
      </c>
      <c r="L27" s="21" t="inlineStr"/>
      <c r="M27" s="21" t="inlineStr"/>
      <c r="N27" s="21" t="inlineStr">
        <is>
          <t>farmatsiya ishi</t>
        </is>
      </c>
      <c r="O27" s="21" t="inlineStr"/>
      <c r="P27" s="9" t="inlineStr">
        <is>
          <t>222</t>
        </is>
      </c>
      <c r="Q27" s="22" t="inlineStr">
        <is>
          <t>turg'unova jasmina 222.docx</t>
        </is>
      </c>
    </row>
    <row r="28" ht="30" customHeight="1">
      <c r="A28" s="19" t="n">
        <v>46267</v>
      </c>
      <c r="B28" s="28" t="inlineStr">
        <is>
          <t>26-01</t>
        </is>
      </c>
      <c r="C28" s="10">
        <f>COUNTIF($B$13:B28,B28)</f>
        <v/>
      </c>
      <c r="D28" s="20" t="inlineStr">
        <is>
          <t>Ziyodullayeva</t>
        </is>
      </c>
      <c r="E28" s="20" t="inlineStr">
        <is>
          <t>Jasmina</t>
        </is>
      </c>
      <c r="F28" s="21" t="inlineStr">
        <is>
          <t>Alisher qizi</t>
        </is>
      </c>
      <c r="G28" s="21">
        <f>Таблица1[[#This Row],[Familiyasi]]&amp;" "&amp;Таблица1[[#This Row],[Ismi]]&amp;" "&amp;Таблица1[[#This Row],[Otasining ismi]]</f>
        <v/>
      </c>
      <c r="H28" s="9" t="inlineStr">
        <is>
          <t>12.06.2007</t>
        </is>
      </c>
      <c r="I28" s="21" t="inlineStr">
        <is>
          <t>ad9812146</t>
        </is>
      </c>
      <c r="J28" s="9" t="inlineStr">
        <is>
          <t>61206075590076</t>
        </is>
      </c>
      <c r="K28" s="21" t="inlineStr">
        <is>
          <t>13.12.2024</t>
        </is>
      </c>
      <c r="L28" s="21" t="inlineStr">
        <is>
          <t>um 03296188</t>
        </is>
      </c>
      <c r="M28" s="21" t="inlineStr">
        <is>
          <t>14-sonli umumiy o'rta ta'lim maktabi</t>
        </is>
      </c>
      <c r="N28" s="21" t="inlineStr">
        <is>
          <t>farmatsiya ishi</t>
        </is>
      </c>
      <c r="O28" s="21" t="inlineStr">
        <is>
          <t>2025</t>
        </is>
      </c>
      <c r="P28" s="9" t="inlineStr">
        <is>
          <t>233</t>
        </is>
      </c>
      <c r="Q28" s="22" t="inlineStr">
        <is>
          <t>ziyodullayeva jasmina 233.docx</t>
        </is>
      </c>
    </row>
    <row r="29" ht="30" customHeight="1">
      <c r="A29" s="19" t="n">
        <v>46267</v>
      </c>
      <c r="B29" s="28" t="inlineStr">
        <is>
          <t>26-02</t>
        </is>
      </c>
      <c r="C29" s="10">
        <f>COUNTIF($B$13:B29,B29)</f>
        <v/>
      </c>
      <c r="D29" s="20" t="inlineStr">
        <is>
          <t>Berdiqulova</t>
        </is>
      </c>
      <c r="E29" s="20" t="inlineStr">
        <is>
          <t>Gulshan</t>
        </is>
      </c>
      <c r="F29" s="21" t="inlineStr">
        <is>
          <t>Rustam qizi</t>
        </is>
      </c>
      <c r="G29" s="21">
        <f>Таблица1[[#This Row],[Familiyasi]]&amp;" "&amp;Таблица1[[#This Row],[Ismi]]</f>
        <v/>
      </c>
      <c r="H29" s="9" t="inlineStr">
        <is>
          <t>10.01.1995</t>
        </is>
      </c>
      <c r="I29" s="21" t="inlineStr">
        <is>
          <t>ae6702868</t>
        </is>
      </c>
      <c r="J29" s="9" t="inlineStr">
        <is>
          <t>41001955590049</t>
        </is>
      </c>
      <c r="K29" s="21" t="inlineStr">
        <is>
          <t>16.03.2026</t>
        </is>
      </c>
      <c r="L29" s="21" t="inlineStr">
        <is>
          <t>k 0162430</t>
        </is>
      </c>
      <c r="M29" s="21" t="inlineStr">
        <is>
          <t>shahrisabz texnologiya kasb-hunar kolleji</t>
        </is>
      </c>
      <c r="N29" s="21" t="inlineStr">
        <is>
          <t>hamshiralik ishi - 3 yillik</t>
        </is>
      </c>
      <c r="O29" s="21" t="inlineStr">
        <is>
          <t>2013</t>
        </is>
      </c>
      <c r="P29" s="9" t="inlineStr">
        <is>
          <t>239</t>
        </is>
      </c>
      <c r="Q29" s="22" t="inlineStr">
        <is>
          <t>berdiqulova gulshan 239.docx</t>
        </is>
      </c>
    </row>
    <row r="30" ht="30" customHeight="1">
      <c r="A30" s="19" t="n">
        <v>46267</v>
      </c>
      <c r="B30" s="28" t="inlineStr">
        <is>
          <t>26-02</t>
        </is>
      </c>
      <c r="C30" s="10">
        <f>COUNTIF($B$13:B30,B30)</f>
        <v/>
      </c>
      <c r="D30" s="20" t="inlineStr">
        <is>
          <t>Eshmurotova</t>
        </is>
      </c>
      <c r="E30" s="20" t="inlineStr">
        <is>
          <t>Charos</t>
        </is>
      </c>
      <c r="F30" s="21" t="inlineStr">
        <is>
          <t>Bekqul qizi</t>
        </is>
      </c>
      <c r="G30" s="21">
        <f>Таблица1[[#This Row],[Familiyasi]]&amp;" "&amp;Таблица1[[#This Row],[Ismi]]&amp;" "&amp;Таблица1[[#This Row],[Otasining ismi]]</f>
        <v/>
      </c>
      <c r="H30" s="9" t="inlineStr">
        <is>
          <t>19.01.2008</t>
        </is>
      </c>
      <c r="I30" s="21" t="inlineStr">
        <is>
          <t>ae5720760</t>
        </is>
      </c>
      <c r="J30" s="9" t="inlineStr">
        <is>
          <t>61901085720047</t>
        </is>
      </c>
      <c r="K30" s="21" t="inlineStr">
        <is>
          <t>07.01.2026</t>
        </is>
      </c>
      <c r="L30" s="21" t="inlineStr">
        <is>
          <t>um 03717179</t>
        </is>
      </c>
      <c r="M30" s="21" t="inlineStr">
        <is>
          <t>6-sonli umumiy o'rta ta'lim maktabi</t>
        </is>
      </c>
      <c r="N30" s="21" t="inlineStr">
        <is>
          <t>hamshiralik ishi - 3 yillik</t>
        </is>
      </c>
      <c r="O30" s="21" t="inlineStr">
        <is>
          <t>2026</t>
        </is>
      </c>
      <c r="P30" s="9" t="inlineStr">
        <is>
          <t>110</t>
        </is>
      </c>
      <c r="Q30" s="22" t="inlineStr">
        <is>
          <t>eshmurotova charos 110.docx</t>
        </is>
      </c>
    </row>
    <row r="31" ht="30" customHeight="1">
      <c r="A31" s="19" t="n">
        <v>46267</v>
      </c>
      <c r="B31" s="28" t="inlineStr">
        <is>
          <t>26-02</t>
        </is>
      </c>
      <c r="C31" s="10">
        <f>COUNTIF($B$13:B31,B31)</f>
        <v/>
      </c>
      <c r="D31" s="20" t="inlineStr">
        <is>
          <t>G'aybullayeva</t>
        </is>
      </c>
      <c r="E31" s="20" t="inlineStr">
        <is>
          <t>Ruxsora</t>
        </is>
      </c>
      <c r="F31" s="21" t="inlineStr">
        <is>
          <t>Xusniddin qizi</t>
        </is>
      </c>
      <c r="G31" s="21">
        <f>Таблица1[[#This Row],[Familiyasi]]&amp;" "&amp;Таблица1[[#This Row],[Ismi]]&amp;" "&amp;Таблица1[[#This Row],[Otasining ismi]]</f>
        <v/>
      </c>
      <c r="H31" s="9" t="inlineStr">
        <is>
          <t>12.06.2008</t>
        </is>
      </c>
      <c r="I31" s="21" t="inlineStr">
        <is>
          <t>ad8701218</t>
        </is>
      </c>
      <c r="J31" s="9" t="inlineStr">
        <is>
          <t>61206085590028</t>
        </is>
      </c>
      <c r="K31" s="21" t="inlineStr">
        <is>
          <t>09.04.2019</t>
        </is>
      </c>
      <c r="L31" s="21" t="inlineStr">
        <is>
          <t>um 03751895</t>
        </is>
      </c>
      <c r="M31" s="21" t="inlineStr">
        <is>
          <t>7-sonli umumiy o'rta ta'lim maktabi</t>
        </is>
      </c>
      <c r="N31" s="21" t="inlineStr">
        <is>
          <t>hamshiralik ishi - 3 yillik</t>
        </is>
      </c>
      <c r="O31" s="21" t="inlineStr">
        <is>
          <t>2026</t>
        </is>
      </c>
      <c r="P31" s="9" t="inlineStr">
        <is>
          <t>236</t>
        </is>
      </c>
      <c r="Q31" s="22" t="inlineStr">
        <is>
          <t>g'aybullayeva ruxsora 236.docx</t>
        </is>
      </c>
    </row>
    <row r="32" ht="30" customHeight="1">
      <c r="A32" s="19" t="n">
        <v>46273</v>
      </c>
      <c r="B32" s="28" t="inlineStr">
        <is>
          <t>26-02</t>
        </is>
      </c>
      <c r="C32" s="10">
        <f>COUNTIF($B$13:B32,B32)</f>
        <v/>
      </c>
      <c r="D32" s="20" t="inlineStr">
        <is>
          <t>Hamroqulova</t>
        </is>
      </c>
      <c r="E32" s="20" t="inlineStr">
        <is>
          <t>Farzona</t>
        </is>
      </c>
      <c r="F32" s="21" t="inlineStr">
        <is>
          <t>Odilovna</t>
        </is>
      </c>
      <c r="G32" s="21">
        <f>Таблица1[[#This Row],[Familiyasi]]&amp;" "&amp;Таблица1[[#This Row],[Ismi]]&amp;" "&amp;Таблица1[[#This Row],[Otasining ismi]]</f>
        <v/>
      </c>
      <c r="H32" s="9" t="n"/>
      <c r="I32" s="21" t="n"/>
      <c r="J32" s="9" t="n"/>
      <c r="K32" s="21" t="n"/>
      <c r="L32" s="21" t="n"/>
      <c r="M32" s="21" t="n"/>
      <c r="N32" s="21" t="n"/>
      <c r="O32" s="21" t="n"/>
      <c r="P32" s="9" t="n"/>
      <c r="Q32" s="22" t="n"/>
    </row>
    <row r="33" ht="30" customHeight="1">
      <c r="A33" s="19" t="n">
        <v>46267</v>
      </c>
      <c r="B33" s="28" t="inlineStr">
        <is>
          <t>26-02</t>
        </is>
      </c>
      <c r="C33" s="10">
        <f>COUNTIF($B$13:B33,B33)</f>
        <v/>
      </c>
      <c r="D33" s="20" t="inlineStr">
        <is>
          <t>Hasanova</t>
        </is>
      </c>
      <c r="E33" s="20" t="inlineStr">
        <is>
          <t>Marjona</t>
        </is>
      </c>
      <c r="F33" s="21" t="inlineStr">
        <is>
          <t>Xolmurod qizi</t>
        </is>
      </c>
      <c r="G33" s="21">
        <f>Таблица1[[#This Row],[Familiyasi]]&amp;" "&amp;Таблица1[[#This Row],[Ismi]]&amp;" "&amp;Таблица1[[#This Row],[Otasining ismi]]</f>
        <v/>
      </c>
      <c r="H33" s="9" t="inlineStr">
        <is>
          <t>04.11.2008</t>
        </is>
      </c>
      <c r="I33" s="21" t="inlineStr">
        <is>
          <t>ae5685784</t>
        </is>
      </c>
      <c r="J33" s="9" t="inlineStr">
        <is>
          <t>60411085590028</t>
        </is>
      </c>
      <c r="K33" s="21" t="inlineStr">
        <is>
          <t>06.01.2026</t>
        </is>
      </c>
      <c r="L33" s="21" t="inlineStr">
        <is>
          <t>um 03729364</t>
        </is>
      </c>
      <c r="M33" s="21" t="inlineStr">
        <is>
          <t>47-sonli umumiy o'rta ta'lim maktabi</t>
        </is>
      </c>
      <c r="N33" s="21" t="inlineStr">
        <is>
          <t>hamshiralik ishi - 3 yillik</t>
        </is>
      </c>
      <c r="O33" s="21" t="inlineStr">
        <is>
          <t>2026</t>
        </is>
      </c>
      <c r="P33" s="9" t="inlineStr">
        <is>
          <t>192</t>
        </is>
      </c>
      <c r="Q33" s="22" t="inlineStr">
        <is>
          <t>hasanova marjona 192.docx</t>
        </is>
      </c>
    </row>
    <row r="34" ht="30" customHeight="1">
      <c r="A34" s="19" t="n">
        <v>46277</v>
      </c>
      <c r="B34" s="28" t="inlineStr">
        <is>
          <t>26-02</t>
        </is>
      </c>
      <c r="C34" s="10">
        <f>COUNTIF($B$13:B34,B34)</f>
        <v/>
      </c>
      <c r="D34" s="20" t="inlineStr">
        <is>
          <t>Ilhomova</t>
        </is>
      </c>
      <c r="E34" s="20" t="inlineStr">
        <is>
          <t>Zuhra</t>
        </is>
      </c>
      <c r="F34" s="21" t="inlineStr">
        <is>
          <t>Davron qizi</t>
        </is>
      </c>
      <c r="G34" s="21">
        <f>Таблица1[[#This Row],[Familiyasi]]&amp;" "&amp;Таблица1[[#This Row],[Ismi]]&amp;" "&amp;Таблица1[[#This Row],[Otasining ismi]]</f>
        <v/>
      </c>
      <c r="H34" s="9" t="n"/>
      <c r="I34" s="21" t="n"/>
      <c r="J34" s="9" t="n"/>
      <c r="K34" s="21" t="n"/>
      <c r="L34" s="21" t="n"/>
      <c r="M34" s="21" t="n"/>
      <c r="N34" s="21" t="n"/>
      <c r="O34" s="21" t="n"/>
      <c r="P34" s="9" t="n"/>
      <c r="Q34" s="22" t="n"/>
    </row>
    <row r="35" ht="30" customHeight="1">
      <c r="A35" s="19" t="n">
        <v>46267</v>
      </c>
      <c r="B35" s="28" t="inlineStr">
        <is>
          <t>26-02</t>
        </is>
      </c>
      <c r="C35" s="10">
        <f>COUNTIF($B$13:B35,B35)</f>
        <v/>
      </c>
      <c r="D35" s="20" t="inlineStr">
        <is>
          <t>Islomova</t>
        </is>
      </c>
      <c r="E35" s="20" t="inlineStr">
        <is>
          <t>Nilufar</t>
        </is>
      </c>
      <c r="F35" s="21" t="inlineStr">
        <is>
          <t>Abdulxafiz qizi</t>
        </is>
      </c>
      <c r="G35" s="21">
        <f>Таблица1[[#This Row],[Familiyasi]]&amp;" "&amp;Таблица1[[#This Row],[Ismi]]&amp;" "&amp;Таблица1[[#This Row],[Otasining ismi]]</f>
        <v/>
      </c>
      <c r="H35" s="9" t="inlineStr">
        <is>
          <t>19.11.2008</t>
        </is>
      </c>
      <c r="I35" s="21" t="inlineStr">
        <is>
          <t>ad9664280</t>
        </is>
      </c>
      <c r="J35" s="9" t="inlineStr">
        <is>
          <t>61911085590104</t>
        </is>
      </c>
      <c r="K35" s="21" t="inlineStr">
        <is>
          <t>03.12.2024</t>
        </is>
      </c>
      <c r="L35" s="21" t="inlineStr">
        <is>
          <t>um 03752502</t>
        </is>
      </c>
      <c r="M35" s="21" t="inlineStr">
        <is>
          <t>14-sonli umumiy o'rta ta'lim maktabi</t>
        </is>
      </c>
      <c r="N35" s="21" t="inlineStr">
        <is>
          <t>hamshiralik ishi - 3 yillik</t>
        </is>
      </c>
      <c r="O35" s="21" t="inlineStr">
        <is>
          <t>2026</t>
        </is>
      </c>
      <c r="P35" s="9" t="inlineStr">
        <is>
          <t>94</t>
        </is>
      </c>
      <c r="Q35" s="22" t="inlineStr">
        <is>
          <t>islomova nilufar 94.docx</t>
        </is>
      </c>
    </row>
    <row r="36" ht="30" customHeight="1">
      <c r="A36" s="19" t="n">
        <v>46269</v>
      </c>
      <c r="B36" s="28" t="inlineStr">
        <is>
          <t>26-02</t>
        </is>
      </c>
      <c r="C36" s="10">
        <f>COUNTIF($B$13:B36,B36)</f>
        <v/>
      </c>
      <c r="D36" s="20" t="inlineStr">
        <is>
          <t>Jalolova</t>
        </is>
      </c>
      <c r="E36" s="20" t="inlineStr">
        <is>
          <t>Rayhona</t>
        </is>
      </c>
      <c r="F36" s="21" t="inlineStr">
        <is>
          <t>Akmal qizi</t>
        </is>
      </c>
      <c r="G36" s="21">
        <f>Таблица1[[#This Row],[Familiyasi]]&amp;" "&amp;Таблица1[[#This Row],[Ismi]]&amp;" "&amp;Таблица1[[#This Row],[Otasining ismi]]</f>
        <v/>
      </c>
      <c r="H36" s="9" t="n"/>
      <c r="I36" s="21" t="n"/>
      <c r="J36" s="9" t="n"/>
      <c r="K36" s="21" t="n"/>
      <c r="L36" s="21" t="n"/>
      <c r="M36" s="21" t="n"/>
      <c r="N36" s="21" t="n"/>
      <c r="O36" s="21" t="n"/>
      <c r="P36" s="9" t="n"/>
      <c r="Q36" s="22" t="n"/>
    </row>
    <row r="37" ht="30" customHeight="1">
      <c r="A37" s="19" t="n">
        <v>46267</v>
      </c>
      <c r="B37" s="28" t="inlineStr">
        <is>
          <t>26-02</t>
        </is>
      </c>
      <c r="C37" s="10">
        <f>COUNTIF($B$13:B37,B37)</f>
        <v/>
      </c>
      <c r="D37" s="20" t="inlineStr">
        <is>
          <t>Javliyeva</t>
        </is>
      </c>
      <c r="E37" s="20" t="inlineStr">
        <is>
          <t>Nargiza</t>
        </is>
      </c>
      <c r="F37" s="21" t="inlineStr">
        <is>
          <t>Ortiq qizi</t>
        </is>
      </c>
      <c r="G37" s="21">
        <f>Таблица1[[#This Row],[Familiyasi]]&amp;" "&amp;Таблица1[[#This Row],[Ismi]]&amp;" "&amp;Таблица1[[#This Row],[Otasining ismi]]</f>
        <v/>
      </c>
      <c r="H37" s="9" t="inlineStr">
        <is>
          <t>24.01.2009</t>
        </is>
      </c>
      <c r="I37" s="21" t="inlineStr">
        <is>
          <t>ae5222372</t>
        </is>
      </c>
      <c r="J37" s="9" t="inlineStr">
        <is>
          <t>62401095680012</t>
        </is>
      </c>
      <c r="K37" s="21" t="inlineStr">
        <is>
          <t>28.11.2025</t>
        </is>
      </c>
      <c r="L37" s="21" t="inlineStr">
        <is>
          <t>um 03729316</t>
        </is>
      </c>
      <c r="M37" s="21" t="inlineStr">
        <is>
          <t>45-sonli umumiy o'rta ta'lim maktabi</t>
        </is>
      </c>
      <c r="N37" s="21" t="inlineStr">
        <is>
          <t>hamshiralik ishi - 3 yillik</t>
        </is>
      </c>
      <c r="O37" s="21" t="inlineStr">
        <is>
          <t>2024</t>
        </is>
      </c>
      <c r="P37" s="9" t="inlineStr">
        <is>
          <t>173</t>
        </is>
      </c>
      <c r="Q37" s="22" t="inlineStr">
        <is>
          <t>javliyeva nargiza 173.docx</t>
        </is>
      </c>
    </row>
    <row r="38" ht="30" customHeight="1">
      <c r="A38" s="19" t="n">
        <v>46267</v>
      </c>
      <c r="B38" s="28" t="inlineStr">
        <is>
          <t>26-02</t>
        </is>
      </c>
      <c r="C38" s="10">
        <f>COUNTIF($B$13:B38,B38)</f>
        <v/>
      </c>
      <c r="D38" s="20" t="inlineStr">
        <is>
          <t>Maxmashoxova</t>
        </is>
      </c>
      <c r="E38" s="20" t="inlineStr">
        <is>
          <t>Feruza</t>
        </is>
      </c>
      <c r="F38" s="21" t="inlineStr">
        <is>
          <t>Bekmurod qizi</t>
        </is>
      </c>
      <c r="G38" s="21">
        <f>Таблица1[[#This Row],[Familiyasi]]&amp;" "&amp;Таблица1[[#This Row],[Ismi]]&amp;" "&amp;Таблица1[[#This Row],[Otasining ismi]]</f>
        <v/>
      </c>
      <c r="H38" s="9" t="inlineStr">
        <is>
          <t>02.01.2008</t>
        </is>
      </c>
      <c r="I38" s="21" t="inlineStr">
        <is>
          <t>ae5088010</t>
        </is>
      </c>
      <c r="J38" s="9" t="inlineStr">
        <is>
          <t>60201085630050</t>
        </is>
      </c>
      <c r="K38" s="21" t="inlineStr">
        <is>
          <t>18.11.2025</t>
        </is>
      </c>
      <c r="L38" s="21" t="inlineStr">
        <is>
          <t>um 03742126</t>
        </is>
      </c>
      <c r="M38" s="21" t="inlineStr">
        <is>
          <t>70-sonli umumiy o'rta ta'lim maktabi</t>
        </is>
      </c>
      <c r="N38" s="21" t="inlineStr">
        <is>
          <t>hamshiralik ishi - 3 yillik</t>
        </is>
      </c>
      <c r="O38" s="21" t="inlineStr">
        <is>
          <t>2026</t>
        </is>
      </c>
      <c r="P38" s="9" t="inlineStr">
        <is>
          <t>101</t>
        </is>
      </c>
      <c r="Q38" s="22" t="inlineStr">
        <is>
          <t>maxmashoxova feruza 101.docx</t>
        </is>
      </c>
    </row>
    <row r="39" ht="30" customHeight="1">
      <c r="A39" s="19" t="n">
        <v>46267</v>
      </c>
      <c r="B39" s="28" t="inlineStr">
        <is>
          <t>26-02</t>
        </is>
      </c>
      <c r="C39" s="10">
        <f>COUNTIF($B$13:B39,B39)</f>
        <v/>
      </c>
      <c r="D39" s="20" t="inlineStr">
        <is>
          <t>Meyliqulova</t>
        </is>
      </c>
      <c r="E39" s="20" t="inlineStr">
        <is>
          <t>Hilola</t>
        </is>
      </c>
      <c r="F39" s="21" t="inlineStr">
        <is>
          <t>Farxod qizi</t>
        </is>
      </c>
      <c r="G39" s="21">
        <f>Таблица1[[#This Row],[Familiyasi]]&amp;" "&amp;Таблица1[[#This Row],[Ismi]]&amp;" "&amp;Таблица1[[#This Row],[Otasining ismi]]</f>
        <v/>
      </c>
      <c r="H39" s="9" t="inlineStr"/>
      <c r="I39" s="21" t="inlineStr"/>
      <c r="J39" s="9" t="inlineStr"/>
      <c r="K39" s="21" t="inlineStr"/>
      <c r="L39" s="21" t="inlineStr"/>
      <c r="M39" s="21" t="inlineStr"/>
      <c r="N39" s="21" t="inlineStr">
        <is>
          <t>hamshiralik ishi - 3 yillik</t>
        </is>
      </c>
      <c r="O39" s="21" t="inlineStr"/>
      <c r="P39" s="9" t="inlineStr">
        <is>
          <t>60</t>
        </is>
      </c>
      <c r="Q39" s="22" t="inlineStr">
        <is>
          <t>jumayeva muxlisa 60.docx</t>
        </is>
      </c>
    </row>
    <row r="40" ht="30" customHeight="1">
      <c r="A40" s="19" t="n">
        <v>46267</v>
      </c>
      <c r="B40" s="28" t="inlineStr">
        <is>
          <t>26-02</t>
        </is>
      </c>
      <c r="C40" s="10">
        <f>COUNTIF($B$13:B40,B40)</f>
        <v/>
      </c>
      <c r="D40" s="20" t="inlineStr">
        <is>
          <t>Numonova</t>
        </is>
      </c>
      <c r="E40" s="20" t="inlineStr">
        <is>
          <t>Saidabonu</t>
        </is>
      </c>
      <c r="F40" s="21" t="inlineStr">
        <is>
          <t>Ulugbek qizi</t>
        </is>
      </c>
      <c r="G40" s="21">
        <f>Таблица1[[#This Row],[Familiyasi]]&amp;" "&amp;Таблица1[[#This Row],[Ismi]]&amp;" "&amp;Таблица1[[#This Row],[Otasining ismi]]</f>
        <v/>
      </c>
      <c r="H40" s="9" t="inlineStr">
        <is>
          <t>24.10.2008</t>
        </is>
      </c>
      <c r="I40" s="21" t="inlineStr">
        <is>
          <t>ae1067914</t>
        </is>
      </c>
      <c r="J40" s="9" t="inlineStr">
        <is>
          <t>62410085590084</t>
        </is>
      </c>
      <c r="K40" s="21" t="inlineStr">
        <is>
          <t>07.01.2025</t>
        </is>
      </c>
      <c r="L40" s="21" t="inlineStr">
        <is>
          <t>um 03752610</t>
        </is>
      </c>
      <c r="M40" s="21" t="inlineStr">
        <is>
          <t>15-sonli umumiy o'rta ta'lim maktabi</t>
        </is>
      </c>
      <c r="N40" s="21" t="inlineStr">
        <is>
          <t>hamshiralik ishi - 3 yillik</t>
        </is>
      </c>
      <c r="O40" s="21" t="inlineStr">
        <is>
          <t>2026</t>
        </is>
      </c>
      <c r="P40" s="9" t="inlineStr">
        <is>
          <t>38</t>
        </is>
      </c>
      <c r="Q40" s="22" t="inlineStr">
        <is>
          <t>numonova saidabonu n 38.docx</t>
        </is>
      </c>
    </row>
    <row r="41" ht="30" customHeight="1">
      <c r="A41" s="19" t="n">
        <v>46267</v>
      </c>
      <c r="B41" s="28" t="inlineStr">
        <is>
          <t>26-02</t>
        </is>
      </c>
      <c r="C41" s="10">
        <f>COUNTIF($B$13:B41,B41)</f>
        <v/>
      </c>
      <c r="D41" s="20" t="inlineStr">
        <is>
          <t>Ochildiyeva</t>
        </is>
      </c>
      <c r="E41" s="20" t="inlineStr">
        <is>
          <t>Dinara</t>
        </is>
      </c>
      <c r="F41" s="21" t="inlineStr">
        <is>
          <t>Otabek qizi</t>
        </is>
      </c>
      <c r="G41" s="21">
        <f>Таблица1[[#This Row],[Familiyasi]]&amp;" "&amp;Таблица1[[#This Row],[Ismi]]&amp;" "&amp;Таблица1[[#This Row],[Otasining ismi]]</f>
        <v/>
      </c>
      <c r="H41" s="9" t="inlineStr">
        <is>
          <t>20.12.2008</t>
        </is>
      </c>
      <c r="I41" s="21" t="inlineStr">
        <is>
          <t>ae4084333</t>
        </is>
      </c>
      <c r="J41" s="9" t="inlineStr">
        <is>
          <t>62012085590055</t>
        </is>
      </c>
      <c r="K41" s="21" t="inlineStr">
        <is>
          <t>08.09.2025</t>
        </is>
      </c>
      <c r="L41" s="21" t="inlineStr">
        <is>
          <t>um 03754418</t>
        </is>
      </c>
      <c r="M41" s="21" t="inlineStr">
        <is>
          <t>34-sonli umumiy o'rta ta'lim maktabi</t>
        </is>
      </c>
      <c r="N41" s="21" t="inlineStr">
        <is>
          <t>hamshiralik ishi - 3 yillik</t>
        </is>
      </c>
      <c r="O41" s="21" t="inlineStr">
        <is>
          <t>2026</t>
        </is>
      </c>
      <c r="P41" s="9" t="inlineStr">
        <is>
          <t>87</t>
        </is>
      </c>
      <c r="Q41" s="22" t="inlineStr">
        <is>
          <t>ochildiyeva dinora 87.docx</t>
        </is>
      </c>
    </row>
    <row r="42" ht="30" customHeight="1">
      <c r="A42" s="19" t="n">
        <v>46267</v>
      </c>
      <c r="B42" s="28" t="inlineStr">
        <is>
          <t>26-02</t>
        </is>
      </c>
      <c r="C42" s="10">
        <f>COUNTIF($B$13:B42,B42)</f>
        <v/>
      </c>
      <c r="D42" s="20" t="inlineStr">
        <is>
          <t>O'roqova</t>
        </is>
      </c>
      <c r="E42" s="20" t="inlineStr">
        <is>
          <t>Jasmina</t>
        </is>
      </c>
      <c r="F42" s="21" t="inlineStr">
        <is>
          <t>Jasur qizi</t>
        </is>
      </c>
      <c r="G42" s="21">
        <f>Таблица1[[#This Row],[Familiyasi]]&amp;" "&amp;Таблица1[[#This Row],[Ismi]]&amp;" "&amp;Таблица1[[#This Row],[Otasining ismi]]</f>
        <v/>
      </c>
      <c r="H42" s="9" t="inlineStr">
        <is>
          <t>04.02.2009</t>
        </is>
      </c>
      <c r="I42" s="21" t="inlineStr">
        <is>
          <t>ae4989343</t>
        </is>
      </c>
      <c r="J42" s="9" t="inlineStr">
        <is>
          <t>60402095590060</t>
        </is>
      </c>
      <c r="K42" s="21" t="inlineStr">
        <is>
          <t>11.11.2025</t>
        </is>
      </c>
      <c r="L42" s="21" t="inlineStr">
        <is>
          <t>um 03752857</t>
        </is>
      </c>
      <c r="M42" s="21" t="inlineStr">
        <is>
          <t>19-sonli umumiy o'rta ta'lim maktabi</t>
        </is>
      </c>
      <c r="N42" s="21" t="inlineStr">
        <is>
          <t>hamshiralik ishi - 3 yillik</t>
        </is>
      </c>
      <c r="O42" s="21" t="inlineStr">
        <is>
          <t>2026</t>
        </is>
      </c>
      <c r="P42" s="9" t="inlineStr">
        <is>
          <t>148</t>
        </is>
      </c>
      <c r="Q42" s="22" t="inlineStr">
        <is>
          <t>uroqova jasmina 148.docx</t>
        </is>
      </c>
    </row>
    <row r="43" ht="30" customHeight="1">
      <c r="A43" s="19" t="n">
        <v>46267</v>
      </c>
      <c r="B43" s="28" t="inlineStr">
        <is>
          <t>26-02</t>
        </is>
      </c>
      <c r="C43" s="10">
        <f>COUNTIF($B$13:B43,B43)</f>
        <v/>
      </c>
      <c r="D43" s="20" t="inlineStr">
        <is>
          <t>Quysinova</t>
        </is>
      </c>
      <c r="E43" s="20" t="inlineStr">
        <is>
          <t>Ruhshona</t>
        </is>
      </c>
      <c r="F43" s="21" t="inlineStr">
        <is>
          <t>To'lqin qizi</t>
        </is>
      </c>
      <c r="G43" s="21">
        <f>Таблица1[[#This Row],[Familiyasi]]&amp;" "&amp;Таблица1[[#This Row],[Ismi]]&amp;" "&amp;Таблица1[[#This Row],[Otasining ismi]]</f>
        <v/>
      </c>
      <c r="H43" s="9" t="inlineStr">
        <is>
          <t>04.06.2005</t>
        </is>
      </c>
      <c r="I43" s="21" t="inlineStr">
        <is>
          <t>ae7231113</t>
        </is>
      </c>
      <c r="J43" s="9" t="inlineStr">
        <is>
          <t>60406055720067</t>
        </is>
      </c>
      <c r="K43" s="21" t="inlineStr">
        <is>
          <t>01.05.2026</t>
        </is>
      </c>
      <c r="L43" s="21" t="inlineStr">
        <is>
          <t>um 02138929</t>
        </is>
      </c>
      <c r="M43" s="21" t="inlineStr">
        <is>
          <t>ixtisoslashtirilgan maktabni</t>
        </is>
      </c>
      <c r="N43" s="21" t="inlineStr">
        <is>
          <t>hamshiralik ishi - 3 yillik</t>
        </is>
      </c>
      <c r="O43" s="21" t="inlineStr">
        <is>
          <t>2024</t>
        </is>
      </c>
      <c r="P43" s="9" t="inlineStr">
        <is>
          <t>242</t>
        </is>
      </c>
      <c r="Q43" s="22" t="inlineStr">
        <is>
          <t>quysinova rohshona 242.docx</t>
        </is>
      </c>
    </row>
    <row r="44" ht="30" customHeight="1">
      <c r="A44" s="19" t="n">
        <v>46267</v>
      </c>
      <c r="B44" s="28" t="inlineStr">
        <is>
          <t>26-02</t>
        </is>
      </c>
      <c r="C44" s="10">
        <f>COUNTIF($B$13:B44,B44)</f>
        <v/>
      </c>
      <c r="D44" s="20" t="inlineStr">
        <is>
          <t>Ruzimurodova</t>
        </is>
      </c>
      <c r="E44" s="20" t="inlineStr">
        <is>
          <t>Larisa</t>
        </is>
      </c>
      <c r="F44" s="21" t="inlineStr">
        <is>
          <t>Ma'matali qizi</t>
        </is>
      </c>
      <c r="G44" s="21">
        <f>Таблица1[[#This Row],[Familiyasi]]&amp;" "&amp;Таблица1[[#This Row],[Ismi]]&amp;" "&amp;Таблица1[[#This Row],[Otasining ismi]]</f>
        <v/>
      </c>
      <c r="H44" s="9" t="inlineStr">
        <is>
          <t>16.08.2008</t>
        </is>
      </c>
      <c r="I44" s="21" t="inlineStr">
        <is>
          <t>ae5324961</t>
        </is>
      </c>
      <c r="J44" s="9" t="inlineStr">
        <is>
          <t>61608085630072</t>
        </is>
      </c>
      <c r="K44" s="21" t="inlineStr">
        <is>
          <t>05.12.2025</t>
        </is>
      </c>
      <c r="L44" s="21" t="inlineStr">
        <is>
          <t>um 03742132</t>
        </is>
      </c>
      <c r="M44" s="21" t="inlineStr">
        <is>
          <t>70-sonli umumiy o'rta ta'lim maktabi</t>
        </is>
      </c>
      <c r="N44" s="21" t="inlineStr">
        <is>
          <t>farmatsiya ishi</t>
        </is>
      </c>
      <c r="O44" s="21" t="inlineStr">
        <is>
          <t>2026</t>
        </is>
      </c>
      <c r="P44" s="9" t="inlineStr">
        <is>
          <t>100</t>
        </is>
      </c>
      <c r="Q44" s="22" t="inlineStr">
        <is>
          <t>ro'zimurodova larisa 100.docx</t>
        </is>
      </c>
    </row>
    <row r="45" ht="30" customHeight="1">
      <c r="A45" s="19" t="n">
        <v>46269</v>
      </c>
      <c r="B45" s="28" t="inlineStr">
        <is>
          <t>26-02</t>
        </is>
      </c>
      <c r="C45" s="10">
        <f>COUNTIF($B$13:B45,B45)</f>
        <v/>
      </c>
      <c r="D45" s="20" t="inlineStr">
        <is>
          <t>Saydalimova</t>
        </is>
      </c>
      <c r="E45" s="20" t="inlineStr">
        <is>
          <t>Ruxshona</t>
        </is>
      </c>
      <c r="F45" s="21" t="inlineStr">
        <is>
          <t>Sharofiddin qizi</t>
        </is>
      </c>
      <c r="G45" s="21" t="inlineStr">
        <is>
          <t>Saydalimova Ruxshona Sharofiddin qizi</t>
        </is>
      </c>
      <c r="H45" s="9" t="inlineStr">
        <is>
          <t>18.07.2008</t>
        </is>
      </c>
      <c r="I45" s="21" t="inlineStr">
        <is>
          <t>AE3352294</t>
        </is>
      </c>
      <c r="J45" s="9" t="inlineStr">
        <is>
          <t>61807085590034</t>
        </is>
      </c>
      <c r="K45" s="21" t="inlineStr">
        <is>
          <t>10.07.2025</t>
        </is>
      </c>
      <c r="L45" s="21" t="inlineStr">
        <is>
          <t>UM 03754198</t>
        </is>
      </c>
      <c r="M45" s="21" t="inlineStr">
        <is>
          <t>29-sonli umumiy o'rta ta'lim maktabi</t>
        </is>
      </c>
      <c r="N45" s="21" t="n"/>
      <c r="O45" s="21" t="inlineStr">
        <is>
          <t>2026</t>
        </is>
      </c>
      <c r="P45" s="9" t="inlineStr">
        <is>
          <t>74</t>
        </is>
      </c>
      <c r="Q45" s="22" t="n"/>
    </row>
    <row r="46" ht="30" customHeight="1">
      <c r="A46" s="19" t="n">
        <v>46267</v>
      </c>
      <c r="B46" s="28" t="inlineStr">
        <is>
          <t>26-02</t>
        </is>
      </c>
      <c r="C46" s="10">
        <f>COUNTIF($B$13:B46,B46)</f>
        <v/>
      </c>
      <c r="D46" s="20" t="inlineStr">
        <is>
          <t>Samadova</t>
        </is>
      </c>
      <c r="E46" s="20" t="inlineStr">
        <is>
          <t>Nigora</t>
        </is>
      </c>
      <c r="F46" s="21" t="inlineStr">
        <is>
          <t>Abdisamiyevna</t>
        </is>
      </c>
      <c r="G46" s="21">
        <f>Таблица1[[#This Row],[Familiyasi]]&amp;" "&amp;Таблица1[[#This Row],[Ismi]]&amp;" "&amp;Таблица1[[#This Row],[Otasining ismi]]</f>
        <v/>
      </c>
      <c r="H46" s="9" t="inlineStr">
        <is>
          <t>07.10.1989</t>
        </is>
      </c>
      <c r="I46" s="21" t="inlineStr">
        <is>
          <t>ae1836076</t>
        </is>
      </c>
      <c r="J46" s="9" t="inlineStr">
        <is>
          <t>40710895590044</t>
        </is>
      </c>
      <c r="K46" s="21" t="inlineStr">
        <is>
          <t>05.03.2025</t>
        </is>
      </c>
      <c r="L46" s="21" t="inlineStr">
        <is>
          <t>o'r-sh 0658073</t>
        </is>
      </c>
      <c r="M46" s="21" t="inlineStr">
        <is>
          <t>qashqadaryo viloyati shahrisabz tumanidagi 26-umumiy o'rta ta'lim maktabi</t>
        </is>
      </c>
      <c r="N46" s="21" t="inlineStr">
        <is>
          <t>hamshiralik ishi - 3 yillik</t>
        </is>
      </c>
      <c r="O46" s="21" t="inlineStr">
        <is>
          <t>2003</t>
        </is>
      </c>
      <c r="P46" s="9" t="inlineStr">
        <is>
          <t>84</t>
        </is>
      </c>
      <c r="Q46" s="22" t="inlineStr">
        <is>
          <t>samadova nigora 84.docx</t>
        </is>
      </c>
    </row>
    <row r="47" ht="30" customHeight="1">
      <c r="A47" s="19" t="n">
        <v>46267</v>
      </c>
      <c r="B47" s="28" t="inlineStr">
        <is>
          <t>26-02</t>
        </is>
      </c>
      <c r="C47" s="10">
        <f>COUNTIF($B$13:B47,B47)</f>
        <v/>
      </c>
      <c r="D47" s="20" t="inlineStr">
        <is>
          <t>Shukriyeva</t>
        </is>
      </c>
      <c r="E47" s="20" t="inlineStr">
        <is>
          <t>Nariye</t>
        </is>
      </c>
      <c r="F47" s="21" t="inlineStr">
        <is>
          <t>Redvanovna</t>
        </is>
      </c>
      <c r="G47" s="21">
        <f>Таблица1[[#This Row],[Familiyasi]]&amp;" "&amp;Таблица1[[#This Row],[Ismi]]&amp;" "&amp;Таблица1[[#This Row],[Otasining ismi]]</f>
        <v/>
      </c>
      <c r="H47" s="9" t="inlineStr">
        <is>
          <t>21.03.2008</t>
        </is>
      </c>
      <c r="I47" s="21" t="inlineStr">
        <is>
          <t>ad7767171</t>
        </is>
      </c>
      <c r="J47" s="9" t="inlineStr">
        <is>
          <t>62103085590038</t>
        </is>
      </c>
      <c r="K47" s="21" t="inlineStr">
        <is>
          <t>06.07.2024</t>
        </is>
      </c>
      <c r="L47" s="21" t="inlineStr">
        <is>
          <t>um 03751877</t>
        </is>
      </c>
      <c r="M47" s="21" t="inlineStr">
        <is>
          <t>6-sonli umumiy o'rta ta'lim maktabi</t>
        </is>
      </c>
      <c r="N47" s="21" t="inlineStr">
        <is>
          <t>hamshiralik ishi - 3 yillik</t>
        </is>
      </c>
      <c r="O47" s="21" t="inlineStr">
        <is>
          <t>2026</t>
        </is>
      </c>
      <c r="P47" s="9" t="inlineStr">
        <is>
          <t>162</t>
        </is>
      </c>
      <c r="Q47" s="22" t="inlineStr">
        <is>
          <t>shukriyeva nariye 162.docx</t>
        </is>
      </c>
    </row>
    <row r="48" ht="30" customHeight="1">
      <c r="A48" s="19" t="n">
        <v>46267</v>
      </c>
      <c r="B48" s="28" t="inlineStr">
        <is>
          <t>26-02</t>
        </is>
      </c>
      <c r="C48" s="10">
        <f>COUNTIF($B$13:B48,B48)</f>
        <v/>
      </c>
      <c r="D48" s="20" t="inlineStr">
        <is>
          <t>Suyunova</t>
        </is>
      </c>
      <c r="E48" s="20" t="inlineStr">
        <is>
          <t>Maftuna</t>
        </is>
      </c>
      <c r="F48" s="21" t="inlineStr">
        <is>
          <t>Akbar qizi</t>
        </is>
      </c>
      <c r="G48" s="21">
        <f>Таблица1[[#This Row],[Familiyasi]]&amp;" "&amp;Таблица1[[#This Row],[Ismi]]&amp;" "&amp;Таблица1[[#This Row],[Otasining ismi]]</f>
        <v/>
      </c>
      <c r="H48" s="9" t="inlineStr">
        <is>
          <t>14.09.2000</t>
        </is>
      </c>
      <c r="I48" s="21" t="inlineStr">
        <is>
          <t>ab7166586</t>
        </is>
      </c>
      <c r="J48" s="9" t="inlineStr">
        <is>
          <t>61409005680028</t>
        </is>
      </c>
      <c r="K48" s="21" t="inlineStr">
        <is>
          <t>09.07.2017</t>
        </is>
      </c>
      <c r="L48" s="21" t="inlineStr">
        <is>
          <t>um 01891815</t>
        </is>
      </c>
      <c r="M48" s="21" t="inlineStr">
        <is>
          <t>49-sonli umumiy o'rta ta'lim maktabi</t>
        </is>
      </c>
      <c r="N48" s="21" t="inlineStr">
        <is>
          <t>hamshiralik ishi - 3 yillik</t>
        </is>
      </c>
      <c r="O48" s="21" t="inlineStr">
        <is>
          <t>2023</t>
        </is>
      </c>
      <c r="P48" s="9" t="inlineStr">
        <is>
          <t>122</t>
        </is>
      </c>
      <c r="Q48" s="22" t="inlineStr">
        <is>
          <t>suyunova maftuna 122.docx</t>
        </is>
      </c>
    </row>
    <row r="49" ht="30" customHeight="1">
      <c r="A49" s="19" t="n">
        <v>46269</v>
      </c>
      <c r="B49" s="28" t="inlineStr">
        <is>
          <t>26-02</t>
        </is>
      </c>
      <c r="C49" s="10">
        <f>COUNTIF($B$13:B49,B49)</f>
        <v/>
      </c>
      <c r="D49" s="20" t="inlineStr">
        <is>
          <t>To'raboyeva</t>
        </is>
      </c>
      <c r="E49" s="20" t="inlineStr">
        <is>
          <t>Sabrina</t>
        </is>
      </c>
      <c r="F49" s="21" t="inlineStr">
        <is>
          <t>Ovloqul qizi</t>
        </is>
      </c>
      <c r="G49" s="21">
        <f>Таблица1[[#This Row],[Familiyasi]]&amp;" "&amp;Таблица1[[#This Row],[Ismi]]&amp;" "&amp;Таблица1[[#This Row],[Otasining ismi]]</f>
        <v/>
      </c>
      <c r="H49" s="9" t="n"/>
      <c r="I49" s="21" t="n"/>
      <c r="J49" s="9" t="n"/>
      <c r="K49" s="21" t="n"/>
      <c r="L49" s="21" t="n"/>
      <c r="M49" s="21" t="n"/>
      <c r="N49" s="21" t="n"/>
      <c r="O49" s="21" t="n"/>
      <c r="P49" s="9" t="n"/>
      <c r="Q49" s="22" t="n"/>
    </row>
    <row r="50" ht="30" customHeight="1">
      <c r="A50" s="19" t="n">
        <v>46267</v>
      </c>
      <c r="B50" s="28" t="inlineStr">
        <is>
          <t>26-02</t>
        </is>
      </c>
      <c r="C50" s="10">
        <f>COUNTIF($B$13:B50,B50)</f>
        <v/>
      </c>
      <c r="D50" s="20" t="inlineStr">
        <is>
          <t>Tosheva</t>
        </is>
      </c>
      <c r="E50" s="20" t="inlineStr">
        <is>
          <t>Aziza</t>
        </is>
      </c>
      <c r="F50" s="21" t="inlineStr">
        <is>
          <t>Sherzod qizi</t>
        </is>
      </c>
      <c r="G50" s="21">
        <f>Таблица1[[#This Row],[Familiyasi]]&amp;" "&amp;Таблица1[[#This Row],[Ismi]]&amp;" "&amp;Таблица1[[#This Row],[Otasining ismi]]</f>
        <v/>
      </c>
      <c r="H50" s="9" t="inlineStr">
        <is>
          <t>04.04.1997</t>
        </is>
      </c>
      <c r="I50" s="21" t="inlineStr">
        <is>
          <t>ad4186169</t>
        </is>
      </c>
      <c r="J50" s="9" t="inlineStr">
        <is>
          <t>40404975650046</t>
        </is>
      </c>
      <c r="K50" s="21" t="inlineStr">
        <is>
          <t>07.08.2023</t>
        </is>
      </c>
      <c r="L50" s="21" t="inlineStr">
        <is>
          <t>k 3736287</t>
        </is>
      </c>
      <c r="M50" s="21" t="inlineStr">
        <is>
          <t>qarshi iqtisodiyot kolleji</t>
        </is>
      </c>
      <c r="N50" s="21" t="inlineStr">
        <is>
          <t>hamshiralik ishi - 2 yillik</t>
        </is>
      </c>
      <c r="O50" s="21" t="inlineStr">
        <is>
          <t>2015</t>
        </is>
      </c>
      <c r="P50" s="9" t="inlineStr">
        <is>
          <t>11</t>
        </is>
      </c>
      <c r="Q50" s="22" t="inlineStr">
        <is>
          <t>tosheva aziza n11.docx</t>
        </is>
      </c>
    </row>
    <row r="51" ht="30" customHeight="1">
      <c r="A51" s="19" t="n">
        <v>46267</v>
      </c>
      <c r="B51" s="28" t="inlineStr">
        <is>
          <t>26-02</t>
        </is>
      </c>
      <c r="C51" s="10">
        <f>COUNTIF($B$13:B51,B51)</f>
        <v/>
      </c>
      <c r="D51" s="20" t="inlineStr">
        <is>
          <t>To'xtayeva</t>
        </is>
      </c>
      <c r="E51" s="20" t="inlineStr">
        <is>
          <t>Durdona</t>
        </is>
      </c>
      <c r="F51" s="21" t="inlineStr">
        <is>
          <t>Nazim qizi</t>
        </is>
      </c>
      <c r="G51" s="21">
        <f>Таблица1[[#This Row],[Familiyasi]]&amp;" "&amp;Таблица1[[#This Row],[Ismi]]&amp;" "&amp;Таблица1[[#This Row],[Otasining ismi]]</f>
        <v/>
      </c>
      <c r="H51" s="9" t="inlineStr">
        <is>
          <t>19.06.2008</t>
        </is>
      </c>
      <c r="I51" s="21" t="inlineStr">
        <is>
          <t>ae5199773</t>
        </is>
      </c>
      <c r="J51" s="9" t="inlineStr">
        <is>
          <t>61906085680012</t>
        </is>
      </c>
      <c r="K51" s="21" t="inlineStr">
        <is>
          <t>26.11.2025</t>
        </is>
      </c>
      <c r="L51" s="21" t="inlineStr"/>
      <c r="M51" s="21" t="inlineStr"/>
      <c r="N51" s="21" t="inlineStr">
        <is>
          <t>hamshiralik ishi - 3 yillik</t>
        </is>
      </c>
      <c r="O51" s="21" t="inlineStr"/>
      <c r="P51" s="9" t="inlineStr">
        <is>
          <t>161</t>
        </is>
      </c>
      <c r="Q51" s="22" t="inlineStr">
        <is>
          <t>tuxtayeva durdona 161.docx</t>
        </is>
      </c>
    </row>
    <row r="52" ht="30" customHeight="1">
      <c r="A52" s="19" t="n">
        <v>46267</v>
      </c>
      <c r="B52" s="28" t="inlineStr">
        <is>
          <t>26-02</t>
        </is>
      </c>
      <c r="C52" s="10">
        <f>COUNTIF($B$13:B52,B52)</f>
        <v/>
      </c>
      <c r="D52" s="20" t="inlineStr">
        <is>
          <t>Tursunov</t>
        </is>
      </c>
      <c r="E52" s="20" t="inlineStr">
        <is>
          <t>Sohibjon</t>
        </is>
      </c>
      <c r="F52" s="21" t="inlineStr">
        <is>
          <t>Hakim o'g'li</t>
        </is>
      </c>
      <c r="G52" s="21">
        <f>Таблица1[[#This Row],[Familiyasi]]&amp;" "&amp;Таблица1[[#This Row],[Ismi]]&amp;" "&amp;Таблица1[[#This Row],[Otasining ismi]]</f>
        <v/>
      </c>
      <c r="H52" s="9" t="inlineStr">
        <is>
          <t>11.06.2008</t>
        </is>
      </c>
      <c r="I52" s="21" t="inlineStr">
        <is>
          <t>ae4503488</t>
        </is>
      </c>
      <c r="J52" s="9" t="inlineStr">
        <is>
          <t>51106085680031</t>
        </is>
      </c>
      <c r="K52" s="21" t="inlineStr">
        <is>
          <t>07.10.2025</t>
        </is>
      </c>
      <c r="L52" s="21" t="inlineStr">
        <is>
          <t>um 03730110</t>
        </is>
      </c>
      <c r="M52" s="21" t="inlineStr">
        <is>
          <t>70-sonli umumiy o'rta ta'lim maktabi</t>
        </is>
      </c>
      <c r="N52" s="21" t="inlineStr">
        <is>
          <t>feldsherlik ishi</t>
        </is>
      </c>
      <c r="O52" s="21" t="inlineStr">
        <is>
          <t>2026</t>
        </is>
      </c>
      <c r="P52" s="9" t="inlineStr">
        <is>
          <t>220</t>
        </is>
      </c>
      <c r="Q52" s="22" t="inlineStr">
        <is>
          <t>tursunov soxibjon 220.docx</t>
        </is>
      </c>
    </row>
    <row r="53" ht="30" customHeight="1">
      <c r="A53" s="19" t="n">
        <v>46267</v>
      </c>
      <c r="B53" s="28" t="inlineStr">
        <is>
          <t>26-02</t>
        </is>
      </c>
      <c r="C53" s="10">
        <f>COUNTIF($B$13:B53,B53)</f>
        <v/>
      </c>
      <c r="D53" s="20" t="inlineStr">
        <is>
          <t>Umarova</t>
        </is>
      </c>
      <c r="E53" s="20" t="inlineStr">
        <is>
          <t>Iroda</t>
        </is>
      </c>
      <c r="F53" s="21" t="inlineStr">
        <is>
          <t>Muzaffar qizi</t>
        </is>
      </c>
      <c r="G53" s="21">
        <f>Таблица1[[#This Row],[Familiyasi]]&amp;" "&amp;Таблица1[[#This Row],[Ismi]]&amp;" "&amp;Таблица1[[#This Row],[Otasining ismi]]</f>
        <v/>
      </c>
      <c r="H53" s="9" t="inlineStr">
        <is>
          <t>05.12.2008</t>
        </is>
      </c>
      <c r="I53" s="21" t="inlineStr">
        <is>
          <t>ae5293914</t>
        </is>
      </c>
      <c r="J53" s="9" t="inlineStr">
        <is>
          <t>60512085590078</t>
        </is>
      </c>
      <c r="K53" s="21" t="inlineStr">
        <is>
          <t>04.12.2025</t>
        </is>
      </c>
      <c r="L53" s="21" t="inlineStr">
        <is>
          <t>um 03754201</t>
        </is>
      </c>
      <c r="M53" s="21" t="inlineStr">
        <is>
          <t>29-sonli umumiy o'rta ta'lim maktabi</t>
        </is>
      </c>
      <c r="N53" s="21" t="inlineStr">
        <is>
          <t>hamshiralik ishi - 3 yillik</t>
        </is>
      </c>
      <c r="O53" s="21" t="inlineStr">
        <is>
          <t>2026</t>
        </is>
      </c>
      <c r="P53" s="9" t="inlineStr">
        <is>
          <t>73</t>
        </is>
      </c>
      <c r="Q53" s="22" t="inlineStr">
        <is>
          <t>umarova iroda 73.docx</t>
        </is>
      </c>
    </row>
    <row r="54" ht="30" customHeight="1">
      <c r="A54" s="19" t="n">
        <v>46277</v>
      </c>
      <c r="B54" s="28" t="inlineStr">
        <is>
          <t>26-02</t>
        </is>
      </c>
      <c r="C54" s="10">
        <f>COUNTIF($B$13:B54,B54)</f>
        <v/>
      </c>
      <c r="D54" s="20" t="inlineStr">
        <is>
          <t>Usmanova</t>
        </is>
      </c>
      <c r="E54" s="20" t="inlineStr">
        <is>
          <t>Iroda</t>
        </is>
      </c>
      <c r="F54" s="21" t="inlineStr">
        <is>
          <t>Abdurazzoq qizi</t>
        </is>
      </c>
      <c r="G54" s="21">
        <f>Таблица1[[#This Row],[Familiyasi]]&amp;" "&amp;Таблица1[[#This Row],[Ismi]]&amp;" "&amp;Таблица1[[#This Row],[Otasining ismi]]</f>
        <v/>
      </c>
      <c r="H54" s="9" t="n"/>
      <c r="I54" s="21" t="n"/>
      <c r="J54" s="9" t="n"/>
      <c r="K54" s="21" t="n"/>
      <c r="L54" s="21" t="n"/>
      <c r="M54" s="21" t="n"/>
      <c r="N54" s="21" t="n"/>
      <c r="O54" s="21" t="n"/>
      <c r="P54" s="9" t="n"/>
      <c r="Q54" s="22" t="n"/>
    </row>
    <row r="55" ht="30" customHeight="1">
      <c r="A55" s="19" t="n">
        <v>46267</v>
      </c>
      <c r="B55" s="28" t="inlineStr">
        <is>
          <t>26-02</t>
        </is>
      </c>
      <c r="C55" s="10">
        <f>COUNTIF($B$13:B55,B55)</f>
        <v/>
      </c>
      <c r="D55" s="20" t="inlineStr">
        <is>
          <t>Xasanova</t>
        </is>
      </c>
      <c r="E55" s="20" t="inlineStr">
        <is>
          <t>Dilnura</t>
        </is>
      </c>
      <c r="F55" s="21" t="inlineStr">
        <is>
          <t>Eson qizi</t>
        </is>
      </c>
      <c r="G55" s="21">
        <f>Таблица1[[#This Row],[Familiyasi]]&amp;" "&amp;Таблица1[[#This Row],[Ismi]]&amp;" "&amp;Таблица1[[#This Row],[Otasining ismi]]</f>
        <v/>
      </c>
      <c r="H55" s="9" t="inlineStr">
        <is>
          <t>15.08.2008</t>
        </is>
      </c>
      <c r="I55" s="21" t="inlineStr">
        <is>
          <t>ae3555106</t>
        </is>
      </c>
      <c r="J55" s="9" t="inlineStr">
        <is>
          <t>61508085680038</t>
        </is>
      </c>
      <c r="K55" s="21" t="inlineStr">
        <is>
          <t>29.07.2025</t>
        </is>
      </c>
      <c r="L55" s="21" t="inlineStr"/>
      <c r="M55" s="21" t="inlineStr"/>
      <c r="N55" s="21" t="inlineStr">
        <is>
          <t>hamshiralik ishi - 3 yillik</t>
        </is>
      </c>
      <c r="O55" s="21" t="inlineStr"/>
      <c r="P55" s="9" t="inlineStr">
        <is>
          <t>166</t>
        </is>
      </c>
      <c r="Q55" s="22" t="inlineStr">
        <is>
          <t>xasanova dilnura 166.docx</t>
        </is>
      </c>
    </row>
    <row r="56" ht="30" customHeight="1">
      <c r="A56" s="19" t="n">
        <v>46267</v>
      </c>
      <c r="B56" s="28" t="inlineStr">
        <is>
          <t>26-02</t>
        </is>
      </c>
      <c r="C56" s="10">
        <f>COUNTIF($B$13:B56,B56)</f>
        <v/>
      </c>
      <c r="D56" s="20" t="inlineStr">
        <is>
          <t>Xurramova</t>
        </is>
      </c>
      <c r="E56" s="20" t="inlineStr">
        <is>
          <t>Shodiya</t>
        </is>
      </c>
      <c r="F56" s="21" t="inlineStr">
        <is>
          <t>Arol qizi</t>
        </is>
      </c>
      <c r="G56" s="21">
        <f>Таблица1[[#This Row],[Familiyasi]]&amp;" "&amp;Таблица1[[#This Row],[Ismi]]&amp;" "&amp;Таблица1[[#This Row],[Otasining ismi]]</f>
        <v/>
      </c>
      <c r="H56" s="9" t="inlineStr">
        <is>
          <t>27.04.2002</t>
        </is>
      </c>
      <c r="I56" s="21" t="inlineStr">
        <is>
          <t>ac1967100</t>
        </is>
      </c>
      <c r="J56" s="9" t="inlineStr">
        <is>
          <t>62704025590042</t>
        </is>
      </c>
      <c r="K56" s="21" t="inlineStr">
        <is>
          <t>12.06.2019</t>
        </is>
      </c>
      <c r="L56" s="21" t="inlineStr">
        <is>
          <t>um 0438281</t>
        </is>
      </c>
      <c r="M56" s="21" t="inlineStr">
        <is>
          <t>29-sonli umumiy o'rta ta'lim maktabi</t>
        </is>
      </c>
      <c r="N56" s="21" t="inlineStr">
        <is>
          <t>hamshiralik ishi - 3 yillik</t>
        </is>
      </c>
      <c r="O56" s="21" t="inlineStr">
        <is>
          <t>2020</t>
        </is>
      </c>
      <c r="P56" s="9" t="inlineStr">
        <is>
          <t>2</t>
        </is>
      </c>
      <c r="Q56" s="22" t="inlineStr">
        <is>
          <t>ibodullayeva charos 63 (2).docx</t>
        </is>
      </c>
    </row>
    <row r="57" ht="30" customHeight="1">
      <c r="A57" s="19" t="n">
        <v>46267</v>
      </c>
      <c r="B57" s="28" t="inlineStr">
        <is>
          <t>26-02</t>
        </is>
      </c>
      <c r="C57" s="10">
        <f>COUNTIF($B$13:B57,B57)</f>
        <v/>
      </c>
      <c r="D57" s="20" t="inlineStr">
        <is>
          <t>Yorboboyeva</t>
        </is>
      </c>
      <c r="E57" s="20" t="inlineStr">
        <is>
          <t>Mahliyo</t>
        </is>
      </c>
      <c r="F57" s="21" t="inlineStr">
        <is>
          <t>Xusan qizi</t>
        </is>
      </c>
      <c r="G57" s="21">
        <f>Таблица1[[#This Row],[Familiyasi]]&amp;" "&amp;Таблица1[[#This Row],[Ismi]]&amp;" "&amp;Таблица1[[#This Row],[Otasining ismi]]</f>
        <v/>
      </c>
      <c r="H57" s="9" t="inlineStr">
        <is>
          <t>22.07.1993</t>
        </is>
      </c>
      <c r="I57" s="21" t="inlineStr">
        <is>
          <t>ab9239333</t>
        </is>
      </c>
      <c r="J57" s="9" t="inlineStr">
        <is>
          <t>42207935680042</t>
        </is>
      </c>
      <c r="K57" s="21" t="inlineStr">
        <is>
          <t>09.04.2018</t>
        </is>
      </c>
      <c r="L57" s="21" t="inlineStr">
        <is>
          <t>um 03524597</t>
        </is>
      </c>
      <c r="M57" s="21" t="inlineStr">
        <is>
          <t>45-sonli umumiy o'rta ta'lim maktabi</t>
        </is>
      </c>
      <c r="N57" s="21" t="inlineStr">
        <is>
          <t>hamshiralik ishi - 3 yillik</t>
        </is>
      </c>
      <c r="O57" s="21" t="inlineStr">
        <is>
          <t>2025</t>
        </is>
      </c>
      <c r="P57" s="9" t="inlineStr">
        <is>
          <t>75</t>
        </is>
      </c>
      <c r="Q57" s="22" t="inlineStr">
        <is>
          <t>yorboboyeva mahliyo 75.docx</t>
        </is>
      </c>
    </row>
    <row r="58" ht="30" customHeight="1">
      <c r="A58" s="19" t="n">
        <v>46282</v>
      </c>
      <c r="B58" s="28" t="inlineStr">
        <is>
          <t>26-03</t>
        </is>
      </c>
      <c r="C58" s="10">
        <f>COUNTIF($B$13:B58,B58)</f>
        <v/>
      </c>
      <c r="D58" s="46" t="inlineStr">
        <is>
          <t>Abdujalolova</t>
        </is>
      </c>
      <c r="E58" s="20" t="inlineStr">
        <is>
          <t>Dilnura</t>
        </is>
      </c>
      <c r="F58" s="21" t="n"/>
      <c r="G58" s="21">
        <f>Таблица1[[#This Row],[Familiyasi]]&amp;" "&amp;Таблица1[[#This Row],[Ismi]]&amp;" "&amp;Таблица1[[#This Row],[Otasining ismi]]</f>
        <v/>
      </c>
      <c r="H58" s="9" t="n"/>
      <c r="I58" s="21" t="n"/>
      <c r="J58" s="9" t="n"/>
      <c r="K58" s="21" t="n"/>
      <c r="L58" s="21" t="n"/>
      <c r="M58" s="21" t="n"/>
      <c r="N58" s="21" t="n"/>
      <c r="O58" s="21" t="n"/>
      <c r="P58" s="9" t="n"/>
      <c r="Q58" s="22" t="n"/>
    </row>
    <row r="59" ht="30" customHeight="1">
      <c r="A59" s="19" t="n">
        <v>46276</v>
      </c>
      <c r="B59" s="28" t="inlineStr">
        <is>
          <t>26-03</t>
        </is>
      </c>
      <c r="C59" s="10">
        <f>COUNTIF($B$13:B59,B59)</f>
        <v/>
      </c>
      <c r="D59" s="20" t="inlineStr">
        <is>
          <t>Aliqulova</t>
        </is>
      </c>
      <c r="E59" s="20" t="inlineStr">
        <is>
          <t>Shahzoda</t>
        </is>
      </c>
      <c r="F59" s="21" t="inlineStr">
        <is>
          <t>Anvar qizi</t>
        </is>
      </c>
      <c r="G59" s="21">
        <f>Таблица1[[#This Row],[Familiyasi]]&amp;" "&amp;Таблица1[[#This Row],[Ismi]]&amp;" "&amp;Таблица1[[#This Row],[Otasining ismi]]</f>
        <v/>
      </c>
      <c r="H59" s="9" t="n"/>
      <c r="I59" s="21" t="n"/>
      <c r="J59" s="9" t="n"/>
      <c r="K59" s="21" t="n"/>
      <c r="L59" s="21" t="n"/>
      <c r="M59" s="21" t="n"/>
      <c r="N59" s="21" t="n"/>
      <c r="O59" s="21" t="n"/>
      <c r="P59" s="9" t="n"/>
      <c r="Q59" s="22" t="n"/>
    </row>
    <row r="60" ht="30" customHeight="1">
      <c r="A60" s="19" t="n">
        <v>46267</v>
      </c>
      <c r="B60" s="28" t="inlineStr">
        <is>
          <t>26-03</t>
        </is>
      </c>
      <c r="C60" s="10">
        <f>COUNTIF($B$13:B60,B60)</f>
        <v/>
      </c>
      <c r="D60" s="20" t="inlineStr">
        <is>
          <t>Arziqulova</t>
        </is>
      </c>
      <c r="E60" s="20" t="inlineStr">
        <is>
          <t>Laylo</t>
        </is>
      </c>
      <c r="F60" s="21" t="inlineStr">
        <is>
          <t>Bahodir qizi</t>
        </is>
      </c>
      <c r="G60" s="21">
        <f>Таблица1[[#This Row],[Familiyasi]]&amp;" "&amp;Таблица1[[#This Row],[Ismi]]&amp;" "&amp;Таблица1[[#This Row],[Otasining ismi]]</f>
        <v/>
      </c>
      <c r="H60" s="9" t="inlineStr">
        <is>
          <t>01.10.2006</t>
        </is>
      </c>
      <c r="I60" s="21" t="inlineStr">
        <is>
          <t>ad8548125</t>
        </is>
      </c>
      <c r="J60" s="9" t="inlineStr">
        <is>
          <t>60110065720109</t>
        </is>
      </c>
      <c r="K60" s="21" t="inlineStr">
        <is>
          <t>09.09.2024</t>
        </is>
      </c>
      <c r="L60" s="21" t="inlineStr">
        <is>
          <t>um 03264433</t>
        </is>
      </c>
      <c r="M60" s="21" t="inlineStr">
        <is>
          <t>50-sonli umumiy o'rta ta'lim maktabi</t>
        </is>
      </c>
      <c r="N60" s="21" t="inlineStr">
        <is>
          <t>hamshiralik ishi - 3 yillik</t>
        </is>
      </c>
      <c r="O60" s="21" t="inlineStr">
        <is>
          <t>2025</t>
        </is>
      </c>
      <c r="P60" s="9" t="inlineStr">
        <is>
          <t>79</t>
        </is>
      </c>
      <c r="Q60" s="22" t="inlineStr">
        <is>
          <t>arziqulova laylo 79.docx</t>
        </is>
      </c>
    </row>
    <row r="61" ht="30" customHeight="1">
      <c r="A61" s="19" t="n">
        <v>46267</v>
      </c>
      <c r="B61" s="28" t="inlineStr">
        <is>
          <t>26-03</t>
        </is>
      </c>
      <c r="C61" s="10">
        <f>COUNTIF($B$13:B61,B61)</f>
        <v/>
      </c>
      <c r="D61" s="20" t="inlineStr">
        <is>
          <t>Eshnazarova</t>
        </is>
      </c>
      <c r="E61" s="20" t="inlineStr">
        <is>
          <t>Dilnoza</t>
        </is>
      </c>
      <c r="F61" s="21" t="inlineStr">
        <is>
          <t>Rustam qizi</t>
        </is>
      </c>
      <c r="G61" s="21">
        <f>Таблица1[[#This Row],[Familiyasi]]&amp;" "&amp;Таблица1[[#This Row],[Ismi]]&amp;" "&amp;Таблица1[[#This Row],[Otasining ismi]]</f>
        <v/>
      </c>
      <c r="H61" s="9" t="inlineStr"/>
      <c r="I61" s="21" t="inlineStr"/>
      <c r="J61" s="9" t="inlineStr"/>
      <c r="K61" s="21" t="inlineStr"/>
      <c r="L61" s="21" t="inlineStr"/>
      <c r="M61" s="21" t="inlineStr"/>
      <c r="N61" s="21" t="inlineStr">
        <is>
          <t>hamshiralik ishi - 3 yillik</t>
        </is>
      </c>
      <c r="O61" s="21" t="inlineStr"/>
      <c r="P61" s="9" t="inlineStr">
        <is>
          <t>221</t>
        </is>
      </c>
      <c r="Q61" s="22" t="inlineStr">
        <is>
          <t>eshnazarova dilnoza 221.docx</t>
        </is>
      </c>
    </row>
    <row r="62" ht="30" customHeight="1">
      <c r="A62" s="45" t="n">
        <v>46267</v>
      </c>
      <c r="B62" s="28" t="inlineStr">
        <is>
          <t>26-03</t>
        </is>
      </c>
      <c r="C62" s="9">
        <f>COUNTIF($B$13:B62,B62)</f>
        <v/>
      </c>
      <c r="D62" s="20" t="inlineStr">
        <is>
          <t>Fayzullayeva</t>
        </is>
      </c>
      <c r="E62" s="20" t="inlineStr">
        <is>
          <t>Sarvinoz</t>
        </is>
      </c>
      <c r="F62" s="21" t="inlineStr">
        <is>
          <t>Sherbobo qizi</t>
        </is>
      </c>
      <c r="G62" s="21">
        <f>Таблица1[[#This Row],[Familiyasi]]&amp;" "&amp;Таблица1[[#This Row],[Ismi]]&amp;" "&amp;Таблица1[[#This Row],[Otasining ismi]]</f>
        <v/>
      </c>
      <c r="H62" s="9" t="inlineStr">
        <is>
          <t>30.03.2005</t>
        </is>
      </c>
      <c r="I62" s="21" t="inlineStr">
        <is>
          <t>ad1189588</t>
        </is>
      </c>
      <c r="J62" s="9" t="inlineStr">
        <is>
          <t>63003055730053</t>
        </is>
      </c>
      <c r="K62" s="21" t="inlineStr">
        <is>
          <t>24.03.2022</t>
        </is>
      </c>
      <c r="L62" s="21" t="inlineStr">
        <is>
          <t>um 01926806</t>
        </is>
      </c>
      <c r="M62" s="21" t="inlineStr">
        <is>
          <t>43-sonli umumiy o'rta ta'lim maktabi</t>
        </is>
      </c>
      <c r="N62" s="21" t="inlineStr">
        <is>
          <t>hamshiralik ishi - 3 yillik</t>
        </is>
      </c>
      <c r="O62" s="21" t="inlineStr">
        <is>
          <t>2023</t>
        </is>
      </c>
      <c r="P62" s="9" t="inlineStr">
        <is>
          <t>152</t>
        </is>
      </c>
      <c r="Q62" s="21" t="inlineStr">
        <is>
          <t>fayzullayeva sarvinoz 152.docx</t>
        </is>
      </c>
    </row>
    <row r="63" ht="30" customHeight="1">
      <c r="A63" s="45" t="n">
        <v>46267</v>
      </c>
      <c r="B63" s="28" t="inlineStr">
        <is>
          <t>26-03</t>
        </is>
      </c>
      <c r="C63" s="9">
        <f>COUNTIF($B$13:B63,B63)</f>
        <v/>
      </c>
      <c r="D63" s="20" t="inlineStr">
        <is>
          <t>Holmamatova</t>
        </is>
      </c>
      <c r="E63" s="20" t="inlineStr">
        <is>
          <t>Shohista</t>
        </is>
      </c>
      <c r="F63" s="21" t="inlineStr">
        <is>
          <t>Sobir qizi</t>
        </is>
      </c>
      <c r="G63" s="21">
        <f>Таблица1[[#This Row],[Familiyasi]]&amp;" "&amp;Таблица1[[#This Row],[Ismi]]&amp;" "&amp;Таблица1[[#This Row],[Otasining ismi]]</f>
        <v/>
      </c>
      <c r="H63" s="9" t="inlineStr">
        <is>
          <t>02.01.2008</t>
        </is>
      </c>
      <c r="I63" s="21" t="inlineStr">
        <is>
          <t>ae4328716</t>
        </is>
      </c>
      <c r="J63" s="9" t="inlineStr">
        <is>
          <t>60261085720092</t>
        </is>
      </c>
      <c r="K63" s="21" t="inlineStr">
        <is>
          <t>24.09.2025</t>
        </is>
      </c>
      <c r="L63" s="21" t="inlineStr">
        <is>
          <t>um 03718337</t>
        </is>
      </c>
      <c r="M63" s="21" t="inlineStr">
        <is>
          <t>36-sonli umumiy o'rta ta'lim maktabi</t>
        </is>
      </c>
      <c r="N63" s="21" t="inlineStr">
        <is>
          <t>hamshiralik ishi - 3 yillik</t>
        </is>
      </c>
      <c r="O63" s="21" t="inlineStr">
        <is>
          <t>2026</t>
        </is>
      </c>
      <c r="P63" s="9" t="inlineStr">
        <is>
          <t>243</t>
        </is>
      </c>
      <c r="Q63" s="21" t="inlineStr">
        <is>
          <t>xolmamatova shoxista 243.docx</t>
        </is>
      </c>
    </row>
    <row r="64" ht="30" customHeight="1">
      <c r="A64" s="45" t="n">
        <v>46282</v>
      </c>
      <c r="B64" s="28" t="inlineStr">
        <is>
          <t>26-03</t>
        </is>
      </c>
      <c r="C64" s="9">
        <f>COUNTIF($B$13:B64,B64)</f>
        <v/>
      </c>
      <c r="D64" s="46" t="inlineStr">
        <is>
          <t>Ibragimova</t>
        </is>
      </c>
      <c r="E64" s="20" t="inlineStr">
        <is>
          <t>Gulnoza</t>
        </is>
      </c>
      <c r="F64" s="21" t="n"/>
      <c r="G64" s="21">
        <f>Таблица1[[#This Row],[Familiyasi]]&amp;" "&amp;Таблица1[[#This Row],[Ismi]]&amp;" "&amp;Таблица1[[#This Row],[Otasining ismi]]</f>
        <v/>
      </c>
      <c r="H64" s="9" t="n"/>
      <c r="I64" s="21" t="n"/>
      <c r="J64" s="9" t="n"/>
      <c r="K64" s="21" t="n"/>
      <c r="L64" s="21" t="n"/>
      <c r="M64" s="21" t="n"/>
      <c r="N64" s="21" t="n"/>
      <c r="O64" s="21" t="n"/>
      <c r="P64" s="9" t="n"/>
      <c r="Q64" s="21" t="n"/>
    </row>
    <row r="65" ht="30" customHeight="1">
      <c r="A65" s="45" t="n">
        <v>46267</v>
      </c>
      <c r="B65" s="28" t="inlineStr">
        <is>
          <t>26-03</t>
        </is>
      </c>
      <c r="C65" s="9">
        <f>COUNTIF($B$13:B65,B65)</f>
        <v/>
      </c>
      <c r="D65" s="20" t="inlineStr">
        <is>
          <t>Jurayeva</t>
        </is>
      </c>
      <c r="E65" s="20" t="inlineStr">
        <is>
          <t>Dilnoz</t>
        </is>
      </c>
      <c r="F65" s="21" t="inlineStr">
        <is>
          <t>G'oibnazarovna</t>
        </is>
      </c>
      <c r="G65" s="21">
        <f>Таблица1[[#This Row],[Familiyasi]]&amp;" "&amp;Таблица1[[#This Row],[Ismi]]&amp;" "&amp;Таблица1[[#This Row],[Otasining ismi]]</f>
        <v/>
      </c>
      <c r="H65" s="9" t="inlineStr">
        <is>
          <t>03.05.1992</t>
        </is>
      </c>
      <c r="I65" s="21" t="inlineStr">
        <is>
          <t>ad2957442</t>
        </is>
      </c>
      <c r="J65" s="9" t="inlineStr">
        <is>
          <t>40305922560019</t>
        </is>
      </c>
      <c r="K65" s="21" t="inlineStr">
        <is>
          <t>05.04.2023</t>
        </is>
      </c>
      <c r="L65" s="21" t="inlineStr">
        <is>
          <t>O'R-Sh 1074334</t>
        </is>
      </c>
      <c r="M65" s="21" t="inlineStr">
        <is>
          <t>qashqadaryo viloyati shahrisabz tumani 58-sonli umumiy o'rta ta'lim maktabi</t>
        </is>
      </c>
      <c r="N65" s="21" t="inlineStr">
        <is>
          <t>hamshiralik ishi - 3 yillik</t>
        </is>
      </c>
      <c r="O65" s="21" t="inlineStr">
        <is>
          <t>2010</t>
        </is>
      </c>
      <c r="P65" s="9" t="inlineStr">
        <is>
          <t>89</t>
        </is>
      </c>
      <c r="Q65" s="21" t="inlineStr">
        <is>
          <t>jurayeva dilnoz 89.docx</t>
        </is>
      </c>
    </row>
    <row r="66" ht="30" customHeight="1">
      <c r="A66" s="45" t="n">
        <v>46282</v>
      </c>
      <c r="B66" s="28" t="inlineStr">
        <is>
          <t>26-03</t>
        </is>
      </c>
      <c r="C66" s="9">
        <f>COUNTIF($B$13:B66,B66)</f>
        <v/>
      </c>
      <c r="D66" s="46" t="inlineStr">
        <is>
          <t>Mansurova</t>
        </is>
      </c>
      <c r="E66" s="20" t="inlineStr">
        <is>
          <t>Gulasal</t>
        </is>
      </c>
      <c r="F66" s="21" t="n"/>
      <c r="G66" s="21">
        <f>Таблица1[[#This Row],[Familiyasi]]&amp;" "&amp;Таблица1[[#This Row],[Ismi]]&amp;" "&amp;Таблица1[[#This Row],[Otasining ismi]]</f>
        <v/>
      </c>
      <c r="H66" s="9" t="n"/>
      <c r="I66" s="21" t="n"/>
      <c r="J66" s="9" t="n"/>
      <c r="K66" s="21" t="n"/>
      <c r="L66" s="21" t="n"/>
      <c r="M66" s="21" t="n"/>
      <c r="N66" s="21" t="n"/>
      <c r="O66" s="21" t="n"/>
      <c r="P66" s="9" t="n"/>
      <c r="Q66" s="21" t="n"/>
    </row>
    <row r="67" ht="30" customHeight="1">
      <c r="A67" s="45" t="n">
        <v>46267</v>
      </c>
      <c r="B67" s="28" t="inlineStr">
        <is>
          <t>26-03</t>
        </is>
      </c>
      <c r="C67" s="9">
        <f>COUNTIF($B$13:B67,B67)</f>
        <v/>
      </c>
      <c r="D67" s="20" t="inlineStr">
        <is>
          <t>Mustafayeva</t>
        </is>
      </c>
      <c r="E67" s="20" t="inlineStr">
        <is>
          <t>Madina</t>
        </is>
      </c>
      <c r="F67" s="21" t="inlineStr">
        <is>
          <t>Maxmadiyevna</t>
        </is>
      </c>
      <c r="G67" s="21">
        <f>Таблица1[[#This Row],[Familiyasi]]&amp;" "&amp;Таблица1[[#This Row],[Ismi]]&amp;" "&amp;Таблица1[[#This Row],[Otasining ismi]]</f>
        <v/>
      </c>
      <c r="H67" s="9" t="n"/>
      <c r="I67" s="21" t="n"/>
      <c r="J67" s="9" t="n"/>
      <c r="K67" s="21" t="n"/>
      <c r="L67" s="21" t="n"/>
      <c r="M67" s="21" t="n"/>
      <c r="N67" s="21" t="n"/>
      <c r="O67" s="21" t="n"/>
      <c r="P67" s="9" t="n"/>
      <c r="Q67" s="21" t="n"/>
    </row>
    <row r="68" ht="30" customHeight="1">
      <c r="A68" s="45" t="n">
        <v>46282</v>
      </c>
      <c r="B68" s="28" t="inlineStr">
        <is>
          <t>26-03</t>
        </is>
      </c>
      <c r="C68" s="9">
        <f>COUNTIF($B$13:B68,B68)</f>
        <v/>
      </c>
      <c r="D68" s="46" t="inlineStr">
        <is>
          <t>Niyozova</t>
        </is>
      </c>
      <c r="E68" s="20" t="inlineStr">
        <is>
          <t>Komila</t>
        </is>
      </c>
      <c r="F68" s="21" t="n"/>
      <c r="G68" s="21">
        <f>Таблица1[[#This Row],[Familiyasi]]&amp;" "&amp;Таблица1[[#This Row],[Ismi]]&amp;" "&amp;Таблица1[[#This Row],[Otasining ismi]]</f>
        <v/>
      </c>
      <c r="H68" s="9" t="n"/>
      <c r="I68" s="21" t="n"/>
      <c r="J68" s="9" t="n"/>
      <c r="K68" s="21" t="n"/>
      <c r="L68" s="21" t="n"/>
      <c r="M68" s="21" t="n"/>
      <c r="N68" s="21" t="n"/>
      <c r="O68" s="21" t="n"/>
      <c r="P68" s="9" t="n"/>
      <c r="Q68" s="21" t="n"/>
    </row>
    <row r="69" ht="30" customHeight="1">
      <c r="A69" s="45" t="n">
        <v>46267</v>
      </c>
      <c r="B69" s="28" t="inlineStr">
        <is>
          <t>26-03</t>
        </is>
      </c>
      <c r="C69" s="9">
        <f>COUNTIF($B$13:B69,B69)</f>
        <v/>
      </c>
      <c r="D69" s="20" t="inlineStr">
        <is>
          <t>Norboboyeva</t>
        </is>
      </c>
      <c r="E69" s="20" t="inlineStr">
        <is>
          <t>Farangiz</t>
        </is>
      </c>
      <c r="F69" s="21" t="inlineStr">
        <is>
          <t>Nuriddin qizi</t>
        </is>
      </c>
      <c r="G69" s="21">
        <f>Таблица1[[#This Row],[Familiyasi]]&amp;" "&amp;Таблица1[[#This Row],[Ismi]]&amp;" "&amp;Таблица1[[#This Row],[Otasining ismi]]</f>
        <v/>
      </c>
      <c r="H69" s="9" t="inlineStr">
        <is>
          <t>28.08.2008</t>
        </is>
      </c>
      <c r="I69" s="21" t="inlineStr">
        <is>
          <t>ae5898909</t>
        </is>
      </c>
      <c r="J69" s="9" t="inlineStr">
        <is>
          <t>62808085590100</t>
        </is>
      </c>
      <c r="K69" s="21" t="inlineStr">
        <is>
          <t>16.01.2026</t>
        </is>
      </c>
      <c r="L69" s="21" t="inlineStr">
        <is>
          <t>um 03753862</t>
        </is>
      </c>
      <c r="M69" s="21" t="inlineStr">
        <is>
          <t>19-sonli umumiy o'rta ta'lim maktabi</t>
        </is>
      </c>
      <c r="N69" s="21" t="inlineStr">
        <is>
          <t>hamshiralik ishi - 3 yillik</t>
        </is>
      </c>
      <c r="O69" s="21" t="inlineStr">
        <is>
          <t>2026</t>
        </is>
      </c>
      <c r="P69" s="9" t="inlineStr">
        <is>
          <t>231</t>
        </is>
      </c>
      <c r="Q69" s="21" t="inlineStr">
        <is>
          <t>norboboyeva farangiz 231.docx</t>
        </is>
      </c>
    </row>
    <row r="70" ht="30" customHeight="1">
      <c r="A70" s="45" t="n">
        <v>46267</v>
      </c>
      <c r="B70" s="28" t="inlineStr">
        <is>
          <t>26-03</t>
        </is>
      </c>
      <c r="C70" s="9">
        <f>COUNTIF($B$13:B70,B70)</f>
        <v/>
      </c>
      <c r="D70" s="20" t="inlineStr">
        <is>
          <t>Pardaqulova</t>
        </is>
      </c>
      <c r="E70" s="20" t="inlineStr">
        <is>
          <t>Farzona</t>
        </is>
      </c>
      <c r="F70" s="21" t="inlineStr">
        <is>
          <t>Shovkatovna</t>
        </is>
      </c>
      <c r="G70" s="21">
        <f>Таблица1[[#This Row],[Familiyasi]]&amp;" "&amp;Таблица1[[#This Row],[Ismi]]&amp;" "&amp;Таблица1[[#This Row],[Otasining ismi]]</f>
        <v/>
      </c>
      <c r="H70" s="9" t="inlineStr">
        <is>
          <t>03.12.2008</t>
        </is>
      </c>
      <c r="I70" s="21" t="inlineStr">
        <is>
          <t>ae1336538</t>
        </is>
      </c>
      <c r="J70" s="9" t="inlineStr">
        <is>
          <t>60312085590052</t>
        </is>
      </c>
      <c r="K70" s="21" t="inlineStr">
        <is>
          <t>23.01.2025</t>
        </is>
      </c>
      <c r="L70" s="21" t="inlineStr">
        <is>
          <t>um 03755343</t>
        </is>
      </c>
      <c r="M70" s="21" t="inlineStr">
        <is>
          <t>61-sonli umumiy o'rta ta'lim maktabi</t>
        </is>
      </c>
      <c r="N70" s="21" t="inlineStr">
        <is>
          <t>hamshiralik ishi - 2 yillik</t>
        </is>
      </c>
      <c r="O70" s="21" t="inlineStr">
        <is>
          <t>2026</t>
        </is>
      </c>
      <c r="P70" s="9" t="inlineStr">
        <is>
          <t>90</t>
        </is>
      </c>
      <c r="Q70" s="21" t="inlineStr">
        <is>
          <t>pardaqulova farzona 90.docx</t>
        </is>
      </c>
    </row>
    <row r="71" ht="30" customHeight="1">
      <c r="A71" s="45" t="n">
        <v>46267</v>
      </c>
      <c r="B71" s="28" t="inlineStr">
        <is>
          <t>26-03</t>
        </is>
      </c>
      <c r="C71" s="9">
        <f>COUNTIF($B$13:B71,B71)</f>
        <v/>
      </c>
      <c r="D71" s="20" t="inlineStr">
        <is>
          <t>Pardayeva</t>
        </is>
      </c>
      <c r="E71" s="20" t="inlineStr">
        <is>
          <t>Farangiz</t>
        </is>
      </c>
      <c r="F71" s="21" t="inlineStr">
        <is>
          <t>Norali qizi</t>
        </is>
      </c>
      <c r="G71" s="21">
        <f>Таблица1[[#This Row],[Familiyasi]]&amp;" "&amp;Таблица1[[#This Row],[Ismi]]&amp;" "&amp;Таблица1[[#This Row],[Otasining ismi]]</f>
        <v/>
      </c>
      <c r="H71" s="9" t="inlineStr">
        <is>
          <t>01.02.2008</t>
        </is>
      </c>
      <c r="I71" s="21" t="inlineStr">
        <is>
          <t>ae5643897</t>
        </is>
      </c>
      <c r="J71" s="9" t="inlineStr">
        <is>
          <t>60102085590028</t>
        </is>
      </c>
      <c r="K71" s="21" t="inlineStr">
        <is>
          <t>29.12.2025</t>
        </is>
      </c>
      <c r="L71" s="21" t="inlineStr">
        <is>
          <t>um 03755453</t>
        </is>
      </c>
      <c r="M71" s="21" t="inlineStr">
        <is>
          <t>68-sonli umumiy o'rta ta'lim maktabi</t>
        </is>
      </c>
      <c r="N71" s="21" t="inlineStr">
        <is>
          <t>hamshiralik ishi - 3 yillik</t>
        </is>
      </c>
      <c r="O71" s="21" t="inlineStr">
        <is>
          <t>2026</t>
        </is>
      </c>
      <c r="P71" s="9" t="inlineStr">
        <is>
          <t>105</t>
        </is>
      </c>
      <c r="Q71" s="21" t="inlineStr">
        <is>
          <t>pardayeva farangiz 105.docx</t>
        </is>
      </c>
    </row>
    <row r="72" ht="30" customHeight="1">
      <c r="A72" s="45" t="n">
        <v>46267</v>
      </c>
      <c r="B72" s="28" t="inlineStr">
        <is>
          <t>26-03</t>
        </is>
      </c>
      <c r="C72" s="9">
        <f>COUNTIF($B$13:B72,B72)</f>
        <v/>
      </c>
      <c r="D72" s="20" t="inlineStr">
        <is>
          <t>Primova</t>
        </is>
      </c>
      <c r="E72" s="20" t="inlineStr">
        <is>
          <t>Husnora</t>
        </is>
      </c>
      <c r="F72" s="21" t="inlineStr">
        <is>
          <t>Shavkat qizi</t>
        </is>
      </c>
      <c r="G72" s="21">
        <f>Таблица1[[#This Row],[Familiyasi]]&amp;" "&amp;Таблица1[[#This Row],[Ismi]]&amp;" "&amp;Таблица1[[#This Row],[Otasining ismi]]</f>
        <v/>
      </c>
      <c r="H72" s="9" t="n"/>
      <c r="I72" s="21" t="n"/>
      <c r="J72" s="9" t="n"/>
      <c r="K72" s="21" t="n"/>
      <c r="L72" s="21" t="n"/>
      <c r="M72" s="21" t="n"/>
      <c r="N72" s="21" t="n"/>
      <c r="O72" s="21" t="n"/>
      <c r="P72" s="9" t="n"/>
      <c r="Q72" s="21" t="n"/>
    </row>
    <row r="73" ht="30" customHeight="1">
      <c r="A73" s="45" t="n">
        <v>46267</v>
      </c>
      <c r="B73" s="28" t="inlineStr">
        <is>
          <t>26-03</t>
        </is>
      </c>
      <c r="C73" s="9">
        <f>COUNTIF($B$13:B73,B73)</f>
        <v/>
      </c>
      <c r="D73" s="20" t="inlineStr">
        <is>
          <t>Raimova</t>
        </is>
      </c>
      <c r="E73" s="20" t="inlineStr">
        <is>
          <t>Nozliya</t>
        </is>
      </c>
      <c r="F73" s="21" t="inlineStr">
        <is>
          <t>Laziz qizi</t>
        </is>
      </c>
      <c r="G73" s="21">
        <f>Таблица1[[#This Row],[Familiyasi]]&amp;" "&amp;Таблица1[[#This Row],[Ismi]]&amp;" "&amp;Таблица1[[#This Row],[Otasining ismi]]</f>
        <v/>
      </c>
      <c r="H73" s="9" t="n"/>
      <c r="I73" s="21" t="n"/>
      <c r="J73" s="9" t="n"/>
      <c r="K73" s="21" t="n"/>
      <c r="L73" s="21" t="n"/>
      <c r="M73" s="21" t="n"/>
      <c r="N73" s="21" t="n"/>
      <c r="O73" s="21" t="n"/>
      <c r="P73" s="9" t="n"/>
      <c r="Q73" s="21" t="n"/>
    </row>
    <row r="74" ht="30" customHeight="1">
      <c r="A74" s="45" t="n">
        <v>46267</v>
      </c>
      <c r="B74" s="28" t="inlineStr">
        <is>
          <t>26-03</t>
        </is>
      </c>
      <c r="C74" s="9">
        <f>COUNTIF($B$13:B74,B74)</f>
        <v/>
      </c>
      <c r="D74" s="20" t="inlineStr">
        <is>
          <t>Rasulova</t>
        </is>
      </c>
      <c r="E74" s="20" t="inlineStr">
        <is>
          <t>Husnobod</t>
        </is>
      </c>
      <c r="F74" s="21" t="inlineStr">
        <is>
          <t>Bekmurod qizi</t>
        </is>
      </c>
      <c r="G74" s="21">
        <f>Таблица1[[#This Row],[Familiyasi]]&amp;" "&amp;Таблица1[[#This Row],[Ismi]]&amp;" "&amp;Таблица1[[#This Row],[Otasining ismi]]</f>
        <v/>
      </c>
      <c r="H74" s="9" t="inlineStr">
        <is>
          <t>27.05.2005</t>
        </is>
      </c>
      <c r="I74" s="21" t="inlineStr">
        <is>
          <t>ad1615363</t>
        </is>
      </c>
      <c r="J74" s="9" t="inlineStr">
        <is>
          <t>62705055720049</t>
        </is>
      </c>
      <c r="K74" s="21" t="inlineStr">
        <is>
          <t>03.08.2022</t>
        </is>
      </c>
      <c r="L74" s="21" t="inlineStr">
        <is>
          <t>um 01891815</t>
        </is>
      </c>
      <c r="M74" s="21" t="inlineStr">
        <is>
          <t>49-sonli umumiy o'rta ta'lim maktabi</t>
        </is>
      </c>
      <c r="N74" s="21" t="inlineStr">
        <is>
          <t>hamshiralik ishi - 2 yillik</t>
        </is>
      </c>
      <c r="O74" s="21" t="inlineStr">
        <is>
          <t>2023</t>
        </is>
      </c>
      <c r="P74" s="9" t="inlineStr">
        <is>
          <t>392</t>
        </is>
      </c>
      <c r="Q74" s="21" t="inlineStr">
        <is>
          <t>rasulova husnobod.docx</t>
        </is>
      </c>
    </row>
    <row r="75" ht="30" customHeight="1">
      <c r="A75" s="45" t="n">
        <v>46282</v>
      </c>
      <c r="B75" s="28" t="inlineStr">
        <is>
          <t>26-03</t>
        </is>
      </c>
      <c r="C75" s="9">
        <f>COUNTIF($B$13:B75,B75)</f>
        <v/>
      </c>
      <c r="D75" s="46" t="inlineStr">
        <is>
          <t>Rustamova</t>
        </is>
      </c>
      <c r="E75" s="20" t="inlineStr">
        <is>
          <t>Charos</t>
        </is>
      </c>
      <c r="F75" s="21" t="n"/>
      <c r="G75" s="21">
        <f>Таблица1[[#This Row],[Familiyasi]]&amp;" "&amp;Таблица1[[#This Row],[Ismi]]&amp;" "&amp;Таблица1[[#This Row],[Otasining ismi]]</f>
        <v/>
      </c>
      <c r="H75" s="9" t="n"/>
      <c r="I75" s="21" t="n"/>
      <c r="J75" s="9" t="n"/>
      <c r="K75" s="21" t="n"/>
      <c r="L75" s="21" t="n"/>
      <c r="M75" s="21" t="n"/>
      <c r="N75" s="21" t="n"/>
      <c r="O75" s="21" t="n"/>
      <c r="P75" s="9" t="n"/>
      <c r="Q75" s="21" t="n"/>
    </row>
    <row r="76" ht="30" customHeight="1">
      <c r="A76" s="45" t="n">
        <v>46267</v>
      </c>
      <c r="B76" s="28" t="inlineStr">
        <is>
          <t>26-03</t>
        </is>
      </c>
      <c r="C76" s="9">
        <f>COUNTIF($B$13:B76,B76)</f>
        <v/>
      </c>
      <c r="D76" s="20" t="inlineStr">
        <is>
          <t>Sayfiyeva</t>
        </is>
      </c>
      <c r="E76" s="20" t="inlineStr">
        <is>
          <t>Zarina</t>
        </is>
      </c>
      <c r="F76" s="21" t="inlineStr">
        <is>
          <t>Axmad qizi</t>
        </is>
      </c>
      <c r="G76" s="21">
        <f>Таблица1[[#This Row],[Familiyasi]]&amp;" "&amp;Таблица1[[#This Row],[Ismi]]&amp;" "&amp;Таблица1[[#This Row],[Otasining ismi]]</f>
        <v/>
      </c>
      <c r="H76" s="9" t="inlineStr">
        <is>
          <t>10.07.2008</t>
        </is>
      </c>
      <c r="I76" s="21" t="inlineStr">
        <is>
          <t>ad7984192</t>
        </is>
      </c>
      <c r="J76" s="9" t="inlineStr">
        <is>
          <t>61007085590081</t>
        </is>
      </c>
      <c r="K76" s="21" t="inlineStr">
        <is>
          <t>23.07.2024</t>
        </is>
      </c>
      <c r="L76" s="21" t="inlineStr">
        <is>
          <t>um 03751932</t>
        </is>
      </c>
      <c r="M76" s="21" t="inlineStr">
        <is>
          <t>7-sonli umumiy o'rta ta'lim maktabi</t>
        </is>
      </c>
      <c r="N76" s="21" t="inlineStr">
        <is>
          <t>hamshiralik ishi - 3 yillik</t>
        </is>
      </c>
      <c r="O76" s="21" t="inlineStr">
        <is>
          <t>2026</t>
        </is>
      </c>
      <c r="P76" s="9" t="inlineStr">
        <is>
          <t>37</t>
        </is>
      </c>
      <c r="Q76" s="21" t="inlineStr">
        <is>
          <t>sayfiyeva zarina 37.docx</t>
        </is>
      </c>
    </row>
    <row r="77" ht="30" customHeight="1">
      <c r="A77" s="45" t="n">
        <v>46269</v>
      </c>
      <c r="B77" s="28" t="inlineStr">
        <is>
          <t>26-03</t>
        </is>
      </c>
      <c r="C77" s="9">
        <f>COUNTIF($B$13:B77,B77)</f>
        <v/>
      </c>
      <c r="D77" s="20" t="inlineStr">
        <is>
          <t>Sayidova</t>
        </is>
      </c>
      <c r="E77" s="20" t="inlineStr">
        <is>
          <t>Dilafro'z</t>
        </is>
      </c>
      <c r="F77" s="21" t="inlineStr">
        <is>
          <t>Qahramon qizi</t>
        </is>
      </c>
      <c r="G77" s="21">
        <f>Таблица1[[#This Row],[Familiyasi]]&amp;" "&amp;Таблица1[[#This Row],[Ismi]]&amp;" "&amp;Таблица1[[#This Row],[Otasining ismi]]</f>
        <v/>
      </c>
      <c r="H77" s="9" t="n"/>
      <c r="I77" s="21" t="n"/>
      <c r="J77" s="9" t="n"/>
      <c r="K77" s="21" t="n"/>
      <c r="L77" s="21" t="n"/>
      <c r="M77" s="21" t="n"/>
      <c r="N77" s="21" t="n"/>
      <c r="O77" s="21" t="n"/>
      <c r="P77" s="9" t="n"/>
      <c r="Q77" s="21" t="n"/>
    </row>
    <row r="78" ht="30" customHeight="1">
      <c r="A78" s="45" t="n">
        <v>46267</v>
      </c>
      <c r="B78" s="28" t="inlineStr">
        <is>
          <t>26-03</t>
        </is>
      </c>
      <c r="C78" s="9">
        <f>COUNTIF($B$13:B78,B78)</f>
        <v/>
      </c>
      <c r="D78" s="20" t="inlineStr">
        <is>
          <t>Shamsiyeva</t>
        </is>
      </c>
      <c r="E78" s="20" t="inlineStr">
        <is>
          <t>Fotima</t>
        </is>
      </c>
      <c r="F78" s="21" t="inlineStr">
        <is>
          <t>Sharofiddin qizi</t>
        </is>
      </c>
      <c r="G78" s="21">
        <f>Таблица1[[#This Row],[Familiyasi]]&amp;" "&amp;Таблица1[[#This Row],[Ismi]]&amp;" "&amp;Таблица1[[#This Row],[Otasining ismi]]</f>
        <v/>
      </c>
      <c r="H78" s="9" t="inlineStr">
        <is>
          <t>03.07.2008</t>
        </is>
      </c>
      <c r="I78" s="21" t="inlineStr">
        <is>
          <t>ae2370999</t>
        </is>
      </c>
      <c r="J78" s="9" t="inlineStr">
        <is>
          <t>60307085730074</t>
        </is>
      </c>
      <c r="K78" s="21" t="inlineStr">
        <is>
          <t>17.04.2025</t>
        </is>
      </c>
      <c r="L78" s="21" t="inlineStr">
        <is>
          <t>um 03758004</t>
        </is>
      </c>
      <c r="M78" s="21" t="inlineStr">
        <is>
          <t>69-sonli umumiy o'rta ta'lim maktabi</t>
        </is>
      </c>
      <c r="N78" s="21" t="inlineStr">
        <is>
          <t>hamshiralik ishi - 3 yillik</t>
        </is>
      </c>
      <c r="O78" s="21" t="inlineStr">
        <is>
          <t>2026</t>
        </is>
      </c>
      <c r="P78" s="9" t="inlineStr">
        <is>
          <t>107</t>
        </is>
      </c>
      <c r="Q78" s="21" t="inlineStr">
        <is>
          <t>shamsiyeva fotima 107.docx</t>
        </is>
      </c>
    </row>
    <row r="79" ht="30" customHeight="1">
      <c r="A79" s="45" t="n">
        <v>46267</v>
      </c>
      <c r="B79" s="28" t="inlineStr">
        <is>
          <t>26-03</t>
        </is>
      </c>
      <c r="C79" s="9">
        <f>COUNTIF($B$13:B79,B79)</f>
        <v/>
      </c>
      <c r="D79" s="20" t="inlineStr">
        <is>
          <t>Shukurova</t>
        </is>
      </c>
      <c r="E79" s="20" t="inlineStr">
        <is>
          <t>Zilola</t>
        </is>
      </c>
      <c r="F79" s="21" t="inlineStr">
        <is>
          <t>Farxod qizi</t>
        </is>
      </c>
      <c r="G79" s="21">
        <f>Таблица1[[#This Row],[Familiyasi]]&amp;" "&amp;Таблица1[[#This Row],[Ismi]]&amp;" "&amp;Таблица1[[#This Row],[Otasining ismi]]</f>
        <v/>
      </c>
      <c r="H79" s="9" t="inlineStr">
        <is>
          <t>06.10.2008</t>
        </is>
      </c>
      <c r="I79" s="21" t="inlineStr">
        <is>
          <t>ae1059205</t>
        </is>
      </c>
      <c r="J79" s="9" t="inlineStr">
        <is>
          <t>60610085590150</t>
        </is>
      </c>
      <c r="K79" s="21" t="inlineStr">
        <is>
          <t>07.01.2025</t>
        </is>
      </c>
      <c r="L79" s="21" t="inlineStr">
        <is>
          <t>pt 0339050</t>
        </is>
      </c>
      <c r="M79" s="21" t="inlineStr">
        <is>
          <t>kitob tuman 1-son texnikumi</t>
        </is>
      </c>
      <c r="N79" s="21" t="inlineStr">
        <is>
          <t>hamshiralik ishi - 3 yillik</t>
        </is>
      </c>
      <c r="O79" s="21" t="inlineStr">
        <is>
          <t>2026</t>
        </is>
      </c>
      <c r="P79" s="9" t="inlineStr">
        <is>
          <t>172</t>
        </is>
      </c>
      <c r="Q79" s="21" t="inlineStr">
        <is>
          <t>shukurova zilola 172.docx</t>
        </is>
      </c>
    </row>
    <row r="80" ht="30" customHeight="1">
      <c r="A80" s="45" t="n">
        <v>46276</v>
      </c>
      <c r="B80" s="28" t="inlineStr">
        <is>
          <t>26-03</t>
        </is>
      </c>
      <c r="C80" s="9">
        <f>COUNTIF($B$13:B80,B80)</f>
        <v/>
      </c>
      <c r="D80" s="20" t="inlineStr">
        <is>
          <t xml:space="preserve">Temirova </t>
        </is>
      </c>
      <c r="E80" s="20" t="inlineStr">
        <is>
          <t>Rushana</t>
        </is>
      </c>
      <c r="F80" s="21" t="inlineStr">
        <is>
          <t>Sarvar qizi</t>
        </is>
      </c>
      <c r="G80" s="21">
        <f>Таблица1[[#This Row],[Familiyasi]]&amp;" "&amp;Таблица1[[#This Row],[Ismi]]&amp;" "&amp;Таблица1[[#This Row],[Otasining ismi]]</f>
        <v/>
      </c>
      <c r="H80" s="9" t="n"/>
      <c r="I80" s="21" t="n"/>
      <c r="J80" s="9" t="n"/>
      <c r="K80" s="21" t="n"/>
      <c r="L80" s="21" t="n"/>
      <c r="M80" s="21" t="n"/>
      <c r="N80" s="21" t="n"/>
      <c r="O80" s="21" t="n"/>
      <c r="P80" s="9" t="n"/>
      <c r="Q80" s="21" t="n"/>
    </row>
    <row r="81" ht="30" customHeight="1">
      <c r="A81" s="45" t="n">
        <v>46267</v>
      </c>
      <c r="B81" s="28" t="inlineStr">
        <is>
          <t>26-03</t>
        </is>
      </c>
      <c r="C81" s="9">
        <f>COUNTIF($B$13:B81,B81)</f>
        <v/>
      </c>
      <c r="D81" s="20" t="inlineStr">
        <is>
          <t>Toshpo'latova</t>
        </is>
      </c>
      <c r="E81" s="20" t="inlineStr">
        <is>
          <t>Asila</t>
        </is>
      </c>
      <c r="F81" s="21" t="inlineStr">
        <is>
          <t>Akmal qizi</t>
        </is>
      </c>
      <c r="G81" s="21">
        <f>Таблица1[[#This Row],[Familiyasi]]&amp;" "&amp;Таблица1[[#This Row],[Ismi]]&amp;" "&amp;Таблица1[[#This Row],[Otasining ismi]]</f>
        <v/>
      </c>
      <c r="H81" s="9" t="inlineStr">
        <is>
          <t>17.09.2008</t>
        </is>
      </c>
      <c r="I81" s="21" t="inlineStr">
        <is>
          <t>ae3444231</t>
        </is>
      </c>
      <c r="J81" s="9" t="inlineStr">
        <is>
          <t>61709085590015</t>
        </is>
      </c>
      <c r="K81" s="21" t="inlineStr">
        <is>
          <t>18.07.2025</t>
        </is>
      </c>
      <c r="L81" s="21" t="inlineStr">
        <is>
          <t>um 03754061</t>
        </is>
      </c>
      <c r="M81" s="21" t="inlineStr">
        <is>
          <t>26-sonli umumiy o'rta ta'lim maktabi</t>
        </is>
      </c>
      <c r="N81" s="21" t="inlineStr">
        <is>
          <t>hamshiralik ishi - 3 yillik</t>
        </is>
      </c>
      <c r="O81" s="21" t="inlineStr">
        <is>
          <t>2026</t>
        </is>
      </c>
      <c r="P81" s="9" t="inlineStr">
        <is>
          <t>112</t>
        </is>
      </c>
      <c r="Q81" s="21" t="inlineStr">
        <is>
          <t>toshpo'latova asila n112.docx</t>
        </is>
      </c>
    </row>
    <row r="82" ht="30" customHeight="1">
      <c r="A82" s="45" t="n">
        <v>46276</v>
      </c>
      <c r="B82" s="28" t="inlineStr">
        <is>
          <t>26-03</t>
        </is>
      </c>
      <c r="C82" s="9">
        <f>COUNTIF($B$13:B82,B82)</f>
        <v/>
      </c>
      <c r="D82" s="20" t="inlineStr">
        <is>
          <t>Umirova</t>
        </is>
      </c>
      <c r="E82" s="20" t="inlineStr">
        <is>
          <t>Sevinch</t>
        </is>
      </c>
      <c r="F82" s="21" t="inlineStr">
        <is>
          <t>Alyor qizi</t>
        </is>
      </c>
      <c r="G82" s="21">
        <f>Таблица1[[#This Row],[Familiyasi]]&amp;" "&amp;Таблица1[[#This Row],[Ismi]]&amp;" "&amp;Таблица1[[#This Row],[Otasining ismi]]</f>
        <v/>
      </c>
      <c r="H82" s="9" t="n"/>
      <c r="I82" s="21" t="n"/>
      <c r="J82" s="9" t="n"/>
      <c r="K82" s="21" t="n"/>
      <c r="L82" s="21" t="n"/>
      <c r="M82" s="21" t="n"/>
      <c r="N82" s="21" t="n"/>
      <c r="O82" s="21" t="n"/>
      <c r="P82" s="9" t="n"/>
      <c r="Q82" s="21" t="n"/>
    </row>
    <row r="83" ht="30" customHeight="1">
      <c r="A83" s="45" t="n">
        <v>46267</v>
      </c>
      <c r="B83" s="28" t="inlineStr">
        <is>
          <t>26-03</t>
        </is>
      </c>
      <c r="C83" s="9">
        <f>COUNTIF($B$13:B83,B83)</f>
        <v/>
      </c>
      <c r="D83" s="20" t="inlineStr">
        <is>
          <t>Usmonova</t>
        </is>
      </c>
      <c r="E83" s="20" t="inlineStr">
        <is>
          <t>Yulduz</t>
        </is>
      </c>
      <c r="F83" s="21" t="inlineStr">
        <is>
          <t>Nu'mon qizi</t>
        </is>
      </c>
      <c r="G83" s="21">
        <f>Таблица1[[#This Row],[Familiyasi]]&amp;" "&amp;Таблица1[[#This Row],[Ismi]]&amp;" "&amp;Таблица1[[#This Row],[Otasining ismi]]</f>
        <v/>
      </c>
      <c r="H83" s="9" t="inlineStr">
        <is>
          <t>21.12.2007</t>
        </is>
      </c>
      <c r="I83" s="21" t="inlineStr">
        <is>
          <t>ad9589389</t>
        </is>
      </c>
      <c r="J83" s="9" t="inlineStr">
        <is>
          <t>62112075680077</t>
        </is>
      </c>
      <c r="K83" s="21" t="inlineStr">
        <is>
          <t>27.11.2024</t>
        </is>
      </c>
      <c r="L83" s="21" t="inlineStr">
        <is>
          <t>um 03273678</t>
        </is>
      </c>
      <c r="M83" s="21" t="inlineStr">
        <is>
          <t>12-sonli umumiy o'rta ta'lim maktabi</t>
        </is>
      </c>
      <c r="N83" s="21" t="inlineStr">
        <is>
          <t>hamshiralik ishi - 3 yillik</t>
        </is>
      </c>
      <c r="O83" s="21" t="inlineStr">
        <is>
          <t>2025</t>
        </is>
      </c>
      <c r="P83" s="9" t="inlineStr">
        <is>
          <t>209</t>
        </is>
      </c>
      <c r="Q83" s="21" t="inlineStr">
        <is>
          <t>usmonova yulduz 209.docx</t>
        </is>
      </c>
    </row>
    <row r="84" ht="30" customHeight="1">
      <c r="A84" s="45" t="n">
        <v>46267</v>
      </c>
      <c r="B84" s="28" t="inlineStr">
        <is>
          <t>26-03</t>
        </is>
      </c>
      <c r="C84" s="9">
        <f>COUNTIF($B$13:B84,B84)</f>
        <v/>
      </c>
      <c r="D84" s="20" t="inlineStr">
        <is>
          <t>Xaydarova</t>
        </is>
      </c>
      <c r="E84" s="20" t="inlineStr">
        <is>
          <t>Iroda</t>
        </is>
      </c>
      <c r="F84" s="21" t="inlineStr">
        <is>
          <t>Zarif qizi</t>
        </is>
      </c>
      <c r="G84" s="21">
        <f>Таблица1[[#This Row],[Familiyasi]]&amp;" "&amp;Таблица1[[#This Row],[Ismi]]&amp;" "&amp;Таблица1[[#This Row],[Otasining ismi]]</f>
        <v/>
      </c>
      <c r="H84" s="9" t="inlineStr">
        <is>
          <t>19.06.2008</t>
        </is>
      </c>
      <c r="I84" s="21" t="inlineStr">
        <is>
          <t>ae4240266</t>
        </is>
      </c>
      <c r="J84" s="9" t="inlineStr">
        <is>
          <t>61906085590032</t>
        </is>
      </c>
      <c r="K84" s="21" t="inlineStr">
        <is>
          <t>17.09.2025</t>
        </is>
      </c>
      <c r="L84" s="21" t="inlineStr">
        <is>
          <t>um 03754068</t>
        </is>
      </c>
      <c r="M84" s="21" t="inlineStr">
        <is>
          <t>26-sonli umumiy o'rta ta'lim maktabi</t>
        </is>
      </c>
      <c r="N84" s="21" t="inlineStr">
        <is>
          <t>hamshiralik ishi - 3 yillik</t>
        </is>
      </c>
      <c r="O84" s="21" t="inlineStr">
        <is>
          <t>2026</t>
        </is>
      </c>
      <c r="P84" s="9" t="inlineStr">
        <is>
          <t>113</t>
        </is>
      </c>
      <c r="Q84" s="21" t="inlineStr">
        <is>
          <t>xaydarova iroda 113.docx</t>
        </is>
      </c>
    </row>
    <row r="85" ht="30" customHeight="1">
      <c r="A85" s="45" t="n">
        <v>46267</v>
      </c>
      <c r="B85" s="28" t="inlineStr">
        <is>
          <t>26-03</t>
        </is>
      </c>
      <c r="C85" s="9">
        <f>COUNTIF($B$13:B85,B85)</f>
        <v/>
      </c>
      <c r="D85" s="20" t="inlineStr">
        <is>
          <t>Xayrullayeva</t>
        </is>
      </c>
      <c r="E85" s="20" t="inlineStr">
        <is>
          <t>Umida</t>
        </is>
      </c>
      <c r="F85" s="21" t="inlineStr">
        <is>
          <t>Safar qizi</t>
        </is>
      </c>
      <c r="G85" s="21">
        <f>Таблица1[[#This Row],[Familiyasi]]&amp;" "&amp;Таблица1[[#This Row],[Ismi]]&amp;" "&amp;Таблица1[[#This Row],[Otasining ismi]]</f>
        <v/>
      </c>
      <c r="H85" s="9" t="inlineStr">
        <is>
          <t>19.11.2008</t>
        </is>
      </c>
      <c r="I85" s="21" t="inlineStr">
        <is>
          <t>ad9786798</t>
        </is>
      </c>
      <c r="J85" s="9" t="inlineStr">
        <is>
          <t>61911085590096</t>
        </is>
      </c>
      <c r="K85" s="21" t="inlineStr">
        <is>
          <t>Noma'lum</t>
        </is>
      </c>
      <c r="L85" s="21" t="inlineStr">
        <is>
          <t>pt 0025701</t>
        </is>
      </c>
      <c r="M85" s="21" t="inlineStr">
        <is>
          <t>kitob tuman 1-son texnikumi</t>
        </is>
      </c>
      <c r="N85" s="21" t="inlineStr">
        <is>
          <t>hamshiralik ishi - 3 yillik</t>
        </is>
      </c>
      <c r="O85" s="21" t="inlineStr">
        <is>
          <t>2026</t>
        </is>
      </c>
      <c r="P85" s="9" t="inlineStr">
        <is>
          <t>116</t>
        </is>
      </c>
      <c r="Q85" s="21" t="inlineStr">
        <is>
          <t>xayrullayeva umida 116.docx</t>
        </is>
      </c>
    </row>
    <row r="86" ht="30" customHeight="1">
      <c r="A86" s="45" t="n">
        <v>46267</v>
      </c>
      <c r="B86" s="28" t="inlineStr">
        <is>
          <t>26-03</t>
        </is>
      </c>
      <c r="C86" s="9">
        <f>COUNTIF($B$13:B86,B86)</f>
        <v/>
      </c>
      <c r="D86" s="20" t="inlineStr">
        <is>
          <t>Xolmaxmatova</t>
        </is>
      </c>
      <c r="E86" s="20" t="inlineStr">
        <is>
          <t>Sevinch</t>
        </is>
      </c>
      <c r="F86" s="21" t="inlineStr">
        <is>
          <t>Isomiddin qizi</t>
        </is>
      </c>
      <c r="G86" s="21">
        <f>Таблица1[[#This Row],[Familiyasi]]&amp;" "&amp;Таблица1[[#This Row],[Ismi]]&amp;" "&amp;Таблица1[[#This Row],[Otasining ismi]]</f>
        <v/>
      </c>
      <c r="H86" s="9" t="inlineStr">
        <is>
          <t>25.11.2008</t>
        </is>
      </c>
      <c r="I86" s="21" t="inlineStr">
        <is>
          <t>ae4729924</t>
        </is>
      </c>
      <c r="J86" s="9" t="inlineStr">
        <is>
          <t>62511085730064</t>
        </is>
      </c>
      <c r="K86" s="21" t="inlineStr">
        <is>
          <t>22.10.2025</t>
        </is>
      </c>
      <c r="L86" s="21" t="inlineStr">
        <is>
          <t>um 03758009</t>
        </is>
      </c>
      <c r="M86" s="21" t="inlineStr">
        <is>
          <t>69-sonli umumiy o'rta ta'lim maktabi</t>
        </is>
      </c>
      <c r="N86" s="21" t="inlineStr">
        <is>
          <t>hamshiralik ishi - 3 yillik</t>
        </is>
      </c>
      <c r="O86" s="21" t="inlineStr">
        <is>
          <t>2026</t>
        </is>
      </c>
      <c r="P86" s="9" t="inlineStr">
        <is>
          <t>108</t>
        </is>
      </c>
      <c r="Q86" s="21" t="inlineStr">
        <is>
          <t>xolmaxmatova sevinch 108.docx</t>
        </is>
      </c>
    </row>
    <row r="87" ht="30" customHeight="1">
      <c r="A87" s="38" t="n">
        <v>46267</v>
      </c>
      <c r="B87" s="39" t="inlineStr">
        <is>
          <t>26-03</t>
        </is>
      </c>
      <c r="C87" s="40">
        <f>COUNTIF($B$13:B95,B87)</f>
        <v/>
      </c>
      <c r="D87" s="41" t="inlineStr">
        <is>
          <t>Xurramova</t>
        </is>
      </c>
      <c r="E87" s="41" t="inlineStr">
        <is>
          <t>Lobar</t>
        </is>
      </c>
      <c r="F87" s="42" t="inlineStr">
        <is>
          <t>Ural qizi</t>
        </is>
      </c>
      <c r="G87" s="42">
        <f>Таблица1[[#This Row],[Familiyasi]]&amp;" "&amp;Таблица1[[#This Row],[Ismi]]&amp;" "&amp;Таблица1[[#This Row],[Otasining ismi]]</f>
        <v/>
      </c>
      <c r="H87" s="43" t="inlineStr">
        <is>
          <t>25.08.2008</t>
        </is>
      </c>
      <c r="I87" s="42" t="inlineStr">
        <is>
          <t>ae2656510</t>
        </is>
      </c>
      <c r="J87" s="43" t="inlineStr">
        <is>
          <t>62508085680062</t>
        </is>
      </c>
      <c r="K87" s="42" t="inlineStr">
        <is>
          <t>13.05.2025</t>
        </is>
      </c>
      <c r="L87" s="42" t="inlineStr">
        <is>
          <t>um 03728374</t>
        </is>
      </c>
      <c r="M87" s="42" t="inlineStr">
        <is>
          <t>12-sonli umumiy o'rta ta'lim maktabi</t>
        </is>
      </c>
      <c r="N87" s="42" t="inlineStr">
        <is>
          <t>hamshiralik ishi - 3 yillik</t>
        </is>
      </c>
      <c r="O87" s="42" t="inlineStr">
        <is>
          <t>2026</t>
        </is>
      </c>
      <c r="P87" s="43" t="inlineStr">
        <is>
          <t>234</t>
        </is>
      </c>
      <c r="Q87" s="44" t="inlineStr">
        <is>
          <t>xurramova lobar 234.docx</t>
        </is>
      </c>
    </row>
    <row r="88" ht="30" customHeight="1">
      <c r="A88" s="19" t="n">
        <v>46276</v>
      </c>
      <c r="B88" s="28" t="inlineStr">
        <is>
          <t>26-04</t>
        </is>
      </c>
      <c r="C88" s="10">
        <f>COUNTIF($B$13:B88,B88)</f>
        <v/>
      </c>
      <c r="D88" s="20" t="inlineStr">
        <is>
          <t>Abdixalilova</t>
        </is>
      </c>
      <c r="E88" s="20" t="inlineStr">
        <is>
          <t>Shahzoda</t>
        </is>
      </c>
      <c r="F88" s="21" t="inlineStr">
        <is>
          <t>Bahodir qizi</t>
        </is>
      </c>
      <c r="G88" s="21">
        <f>Таблица1[[#This Row],[Familiyasi]]&amp;" "&amp;Таблица1[[#This Row],[Ismi]]&amp;" "&amp;Таблица1[[#This Row],[Otasining ismi]]</f>
        <v/>
      </c>
      <c r="H88" s="9" t="n"/>
      <c r="I88" s="21" t="n"/>
      <c r="J88" s="9" t="n"/>
      <c r="K88" s="21" t="n"/>
      <c r="L88" s="21" t="n"/>
      <c r="M88" s="21" t="n"/>
      <c r="N88" s="21" t="n"/>
      <c r="O88" s="21" t="n"/>
      <c r="P88" s="9" t="n"/>
      <c r="Q88" s="22" t="n"/>
    </row>
    <row r="89" ht="30" customHeight="1">
      <c r="A89" s="19" t="n">
        <v>46267</v>
      </c>
      <c r="B89" s="28" t="inlineStr">
        <is>
          <t>26-04</t>
        </is>
      </c>
      <c r="C89" s="10">
        <f>COUNTIF($B$13:B89,B89)</f>
        <v/>
      </c>
      <c r="D89" s="20" t="inlineStr">
        <is>
          <t>Abdiyeva</t>
        </is>
      </c>
      <c r="E89" s="20" t="inlineStr">
        <is>
          <t>Sabina</t>
        </is>
      </c>
      <c r="F89" s="21" t="inlineStr">
        <is>
          <t>G'ayrat qizi</t>
        </is>
      </c>
      <c r="G89" s="21">
        <f>Таблица1[[#This Row],[Familiyasi]]&amp;" "&amp;Таблица1[[#This Row],[Ismi]]&amp;" "&amp;Таблица1[[#This Row],[Otasining ismi]]</f>
        <v/>
      </c>
      <c r="H89" s="9" t="inlineStr">
        <is>
          <t>01.08.2008</t>
        </is>
      </c>
      <c r="I89" s="21" t="inlineStr">
        <is>
          <t>ae4860201</t>
        </is>
      </c>
      <c r="J89" s="9" t="inlineStr">
        <is>
          <t>60108085590051</t>
        </is>
      </c>
      <c r="K89" s="21" t="inlineStr">
        <is>
          <t>03.11.2025</t>
        </is>
      </c>
      <c r="L89" s="21" t="inlineStr">
        <is>
          <t>um 03752332</t>
        </is>
      </c>
      <c r="M89" s="21" t="inlineStr">
        <is>
          <t>13-sonli umumiy o'rta ta'lim maktabi</t>
        </is>
      </c>
      <c r="N89" s="21" t="inlineStr">
        <is>
          <t>hamshiralik ishi - 3 yillik</t>
        </is>
      </c>
      <c r="O89" s="21" t="inlineStr">
        <is>
          <t>2026</t>
        </is>
      </c>
      <c r="P89" s="9" t="inlineStr">
        <is>
          <t>140</t>
        </is>
      </c>
      <c r="Q89" s="22" t="inlineStr">
        <is>
          <t>abdiyeva sabina 140.docx</t>
        </is>
      </c>
    </row>
    <row r="90" ht="30" customHeight="1">
      <c r="A90" s="19" t="n">
        <v>46267</v>
      </c>
      <c r="B90" s="28" t="inlineStr">
        <is>
          <t>26-04</t>
        </is>
      </c>
      <c r="C90" s="10">
        <f>COUNTIF($B$13:B90,B90)</f>
        <v/>
      </c>
      <c r="D90" s="20" t="inlineStr">
        <is>
          <t>Abdurahmonova</t>
        </is>
      </c>
      <c r="E90" s="20" t="inlineStr">
        <is>
          <t>Zahrobonu</t>
        </is>
      </c>
      <c r="F90" s="21" t="inlineStr">
        <is>
          <t>Toxir qizi</t>
        </is>
      </c>
      <c r="G90" s="21">
        <f>Таблица1[[#This Row],[Familiyasi]]&amp;" "&amp;Таблица1[[#This Row],[Ismi]]&amp;" "&amp;Таблица1[[#This Row],[Otasining ismi]]</f>
        <v/>
      </c>
      <c r="H90" s="9" t="inlineStr"/>
      <c r="I90" s="21" t="inlineStr"/>
      <c r="J90" s="9" t="inlineStr"/>
      <c r="K90" s="21" t="inlineStr"/>
      <c r="L90" s="21" t="inlineStr"/>
      <c r="M90" s="21" t="inlineStr"/>
      <c r="N90" s="21" t="inlineStr">
        <is>
          <t>feldsherlik ishi</t>
        </is>
      </c>
      <c r="O90" s="21" t="inlineStr"/>
      <c r="P90" s="9" t="inlineStr">
        <is>
          <t>204</t>
        </is>
      </c>
      <c r="Q90" s="22" t="inlineStr">
        <is>
          <t>abdurahmonova zahrabonu 204.docx</t>
        </is>
      </c>
    </row>
    <row r="91" ht="30" customHeight="1">
      <c r="A91" s="19" t="n">
        <v>46267</v>
      </c>
      <c r="B91" s="28" t="inlineStr">
        <is>
          <t>26-04</t>
        </is>
      </c>
      <c r="C91" s="10">
        <f>COUNTIF($B$13:B91,B91)</f>
        <v/>
      </c>
      <c r="D91" s="20" t="inlineStr">
        <is>
          <t>A'zamov</t>
        </is>
      </c>
      <c r="E91" s="20" t="inlineStr">
        <is>
          <t>Shoxjaxon</t>
        </is>
      </c>
      <c r="F91" s="21" t="inlineStr">
        <is>
          <t>Sherali o'g'li</t>
        </is>
      </c>
      <c r="G91" s="21">
        <f>Таблица1[[#This Row],[Familiyasi]]&amp;" "&amp;Таблица1[[#This Row],[Ismi]]&amp;" "&amp;Таблица1[[#This Row],[Otasining ismi]]</f>
        <v/>
      </c>
      <c r="H91" s="9" t="inlineStr">
        <is>
          <t>25.10.2008</t>
        </is>
      </c>
      <c r="I91" s="21" t="inlineStr">
        <is>
          <t>ad9855395</t>
        </is>
      </c>
      <c r="J91" s="9" t="inlineStr">
        <is>
          <t>52510085590064</t>
        </is>
      </c>
      <c r="K91" s="21" t="inlineStr">
        <is>
          <t>17.12.2024</t>
        </is>
      </c>
      <c r="L91" s="21" t="inlineStr">
        <is>
          <t>um 03728296</t>
        </is>
      </c>
      <c r="M91" s="21" t="inlineStr">
        <is>
          <t>9-sonli umumiy o'rta ta'lim maktabi</t>
        </is>
      </c>
      <c r="N91" s="21" t="inlineStr">
        <is>
          <t>feldsherlik ishi</t>
        </is>
      </c>
      <c r="O91" s="21" t="inlineStr">
        <is>
          <t>2026</t>
        </is>
      </c>
      <c r="P91" s="9" t="inlineStr">
        <is>
          <t>86</t>
        </is>
      </c>
      <c r="Q91" s="22" t="inlineStr">
        <is>
          <t>azamov shoxjahon 86.docx</t>
        </is>
      </c>
    </row>
    <row r="92" ht="30" customHeight="1">
      <c r="A92" s="19" t="n">
        <v>46267</v>
      </c>
      <c r="B92" s="28" t="inlineStr">
        <is>
          <t>26-04</t>
        </is>
      </c>
      <c r="C92" s="10">
        <f>COUNTIF($B$13:B92,B92)</f>
        <v/>
      </c>
      <c r="D92" s="20" t="inlineStr">
        <is>
          <t>Eshpulatova</t>
        </is>
      </c>
      <c r="E92" s="20" t="inlineStr">
        <is>
          <t>Shahnoza</t>
        </is>
      </c>
      <c r="F92" s="21" t="inlineStr">
        <is>
          <t>Sherali qizi</t>
        </is>
      </c>
      <c r="G92" s="21">
        <f>Таблица1[[#This Row],[Familiyasi]]&amp;" "&amp;Таблица1[[#This Row],[Ismi]]&amp;" "&amp;Таблица1[[#This Row],[Otasining ismi]]</f>
        <v/>
      </c>
      <c r="H92" s="9" t="inlineStr">
        <is>
          <t>14.05.2008</t>
        </is>
      </c>
      <c r="I92" s="21" t="inlineStr">
        <is>
          <t>ae1541155</t>
        </is>
      </c>
      <c r="J92" s="9" t="inlineStr">
        <is>
          <t>61405085590065</t>
        </is>
      </c>
      <c r="K92" s="21" t="inlineStr">
        <is>
          <t>07.02.2025</t>
        </is>
      </c>
      <c r="L92" s="21" t="inlineStr">
        <is>
          <t>um 03752459</t>
        </is>
      </c>
      <c r="M92" s="21" t="inlineStr">
        <is>
          <t>14-sonli umumiy o'rta ta'lim maktabi</t>
        </is>
      </c>
      <c r="N92" s="21" t="inlineStr">
        <is>
          <t>hamshiralik ishi - 3 yillik</t>
        </is>
      </c>
      <c r="O92" s="21" t="inlineStr">
        <is>
          <t>2026</t>
        </is>
      </c>
      <c r="P92" s="9" t="inlineStr">
        <is>
          <t>135</t>
        </is>
      </c>
      <c r="Q92" s="22" t="inlineStr">
        <is>
          <t>eshpulatova shahnoza 05.docx</t>
        </is>
      </c>
    </row>
    <row r="93" ht="30" customHeight="1">
      <c r="A93" s="19" t="n">
        <v>46283</v>
      </c>
      <c r="B93" s="28" t="inlineStr">
        <is>
          <t>26-04</t>
        </is>
      </c>
      <c r="C93" s="10">
        <f>COUNTIF($B$13:B93,B93)</f>
        <v/>
      </c>
      <c r="D93" s="49" t="inlineStr">
        <is>
          <t>Eshquvatova</t>
        </is>
      </c>
      <c r="E93" s="20" t="inlineStr">
        <is>
          <t>Yulduz</t>
        </is>
      </c>
      <c r="F93" s="21" t="inlineStr">
        <is>
          <t>Asliddin qizi</t>
        </is>
      </c>
      <c r="G93" s="21">
        <f>Таблица1[[#This Row],[Familiyasi]]&amp;" "&amp;Таблица1[[#This Row],[Ismi]]&amp;" "&amp;Таблица1[[#This Row],[Otasining ismi]]</f>
        <v/>
      </c>
      <c r="H93" s="9" t="n"/>
      <c r="I93" s="21" t="n"/>
      <c r="J93" s="9" t="n"/>
      <c r="K93" s="21" t="n"/>
      <c r="L93" s="21" t="n"/>
      <c r="M93" s="21" t="n"/>
      <c r="N93" s="21" t="n"/>
      <c r="O93" s="21" t="n"/>
      <c r="P93" s="9" t="n"/>
      <c r="Q93" s="22" t="n"/>
    </row>
    <row r="94" ht="30" customHeight="1">
      <c r="A94" s="19" t="n">
        <v>46267</v>
      </c>
      <c r="B94" s="28" t="inlineStr">
        <is>
          <t>26-04</t>
        </is>
      </c>
      <c r="C94" s="10">
        <f>COUNTIF($B$13:B94,B94)</f>
        <v/>
      </c>
      <c r="D94" s="20" t="inlineStr">
        <is>
          <t>Halimova</t>
        </is>
      </c>
      <c r="E94" s="20" t="inlineStr">
        <is>
          <t>Sevinch</t>
        </is>
      </c>
      <c r="F94" s="21" t="inlineStr">
        <is>
          <t>Ravshan qizi</t>
        </is>
      </c>
      <c r="G94" s="21">
        <f>Таблица1[[#This Row],[Familiyasi]]&amp;" "&amp;Таблица1[[#This Row],[Ismi]]&amp;" "&amp;Таблица1[[#This Row],[Otasining ismi]]</f>
        <v/>
      </c>
      <c r="H94" s="9" t="inlineStr">
        <is>
          <t>09.08.2008</t>
        </is>
      </c>
      <c r="I94" s="21" t="inlineStr">
        <is>
          <t>ad8735102</t>
        </is>
      </c>
      <c r="J94" s="9" t="inlineStr">
        <is>
          <t>60908085680060</t>
        </is>
      </c>
      <c r="K94" s="21" t="inlineStr">
        <is>
          <t>23.09.2024</t>
        </is>
      </c>
      <c r="L94" s="21" t="inlineStr">
        <is>
          <t>um 03273019</t>
        </is>
      </c>
      <c r="M94" s="21" t="inlineStr">
        <is>
          <t>1-sonli umumiy o'rta ta'lim maktabi</t>
        </is>
      </c>
      <c r="N94" s="21" t="inlineStr">
        <is>
          <t>hamshiralik ishi - 3 yillik</t>
        </is>
      </c>
      <c r="O94" s="21" t="inlineStr">
        <is>
          <t>2025</t>
        </is>
      </c>
      <c r="P94" s="9" t="inlineStr">
        <is>
          <t>26</t>
        </is>
      </c>
      <c r="Q94" s="22" t="inlineStr">
        <is>
          <t>halimova sevinch 26.docx</t>
        </is>
      </c>
    </row>
    <row r="95" ht="30" customHeight="1">
      <c r="A95" s="19" t="n">
        <v>46276</v>
      </c>
      <c r="B95" s="28" t="inlineStr">
        <is>
          <t>26-04</t>
        </is>
      </c>
      <c r="C95" s="10">
        <f>COUNTIF($B$13:B95,B95)</f>
        <v/>
      </c>
      <c r="D95" s="20" t="inlineStr">
        <is>
          <t>Hamraqulova</t>
        </is>
      </c>
      <c r="E95" s="20" t="inlineStr">
        <is>
          <t>Marjona</t>
        </is>
      </c>
      <c r="F95" s="21" t="inlineStr">
        <is>
          <t>O'ktam qizi</t>
        </is>
      </c>
      <c r="G95" s="21">
        <f>Таблица1[[#This Row],[Familiyasi]]&amp;" "&amp;Таблица1[[#This Row],[Ismi]]&amp;" "&amp;Таблица1[[#This Row],[Otasining ismi]]</f>
        <v/>
      </c>
      <c r="H95" s="9" t="n"/>
      <c r="I95" s="21" t="n"/>
      <c r="J95" s="9" t="n"/>
      <c r="K95" s="21" t="n"/>
      <c r="L95" s="21" t="n"/>
      <c r="M95" s="21" t="n"/>
      <c r="N95" s="21" t="n"/>
      <c r="O95" s="21" t="n"/>
      <c r="P95" s="9" t="n"/>
      <c r="Q95" s="22" t="n"/>
    </row>
    <row r="96" ht="30" customHeight="1">
      <c r="A96" s="19" t="n">
        <v>46267</v>
      </c>
      <c r="B96" s="28" t="inlineStr">
        <is>
          <t>26-04</t>
        </is>
      </c>
      <c r="C96" s="10">
        <f>COUNTIF($B$13:B96,B96)</f>
        <v/>
      </c>
      <c r="D96" s="20" t="inlineStr">
        <is>
          <t>Isomiddinova</t>
        </is>
      </c>
      <c r="E96" s="20" t="inlineStr">
        <is>
          <t>Ruxshona</t>
        </is>
      </c>
      <c r="F96" s="21" t="inlineStr">
        <is>
          <t>Shavkat qizi</t>
        </is>
      </c>
      <c r="G96" s="21">
        <f>Таблица1[[#This Row],[Familiyasi]]&amp;" "&amp;Таблица1[[#This Row],[Ismi]]&amp;" "&amp;Таблица1[[#This Row],[Otasining ismi]]</f>
        <v/>
      </c>
      <c r="H96" s="9" t="inlineStr"/>
      <c r="I96" s="21" t="inlineStr"/>
      <c r="J96" s="9" t="inlineStr"/>
      <c r="K96" s="21" t="inlineStr"/>
      <c r="L96" s="21" t="inlineStr"/>
      <c r="M96" s="21" t="inlineStr"/>
      <c r="N96" s="21" t="inlineStr">
        <is>
          <t>hamshiralik ishi - 3 yillik</t>
        </is>
      </c>
      <c r="O96" s="21" t="inlineStr"/>
      <c r="P96" s="9" t="inlineStr">
        <is>
          <t>66</t>
        </is>
      </c>
      <c r="Q96" s="22" t="inlineStr">
        <is>
          <t>g'ayratova jasmina 66.docx</t>
        </is>
      </c>
    </row>
    <row r="97" ht="30" customHeight="1">
      <c r="A97" s="19" t="n">
        <v>46267</v>
      </c>
      <c r="B97" s="28" t="inlineStr">
        <is>
          <t>26-04</t>
        </is>
      </c>
      <c r="C97" s="10">
        <f>COUNTIF($B$13:B97,B97)</f>
        <v/>
      </c>
      <c r="D97" s="20" t="inlineStr">
        <is>
          <t>Jalolov</t>
        </is>
      </c>
      <c r="E97" s="20" t="inlineStr">
        <is>
          <t>Javlonbek</t>
        </is>
      </c>
      <c r="F97" s="21" t="inlineStr">
        <is>
          <t>G'aniyevich</t>
        </is>
      </c>
      <c r="G97" s="21">
        <f>Таблица1[[#This Row],[Familiyasi]]&amp;" "&amp;Таблица1[[#This Row],[Ismi]]&amp;" "&amp;Таблица1[[#This Row],[Otasining ismi]]</f>
        <v/>
      </c>
      <c r="H97" s="9" t="inlineStr"/>
      <c r="I97" s="21" t="inlineStr"/>
      <c r="J97" s="9" t="inlineStr"/>
      <c r="K97" s="21" t="inlineStr"/>
      <c r="L97" s="21" t="inlineStr"/>
      <c r="M97" s="21" t="inlineStr"/>
      <c r="N97" s="21" t="inlineStr">
        <is>
          <t>feldsherlik ishi</t>
        </is>
      </c>
      <c r="O97" s="21" t="inlineStr"/>
      <c r="P97" s="9" t="inlineStr">
        <is>
          <t>211</t>
        </is>
      </c>
      <c r="Q97" s="22" t="inlineStr"/>
    </row>
    <row r="98" ht="30" customHeight="1">
      <c r="A98" s="19" t="n">
        <v>46276</v>
      </c>
      <c r="B98" s="28" t="inlineStr">
        <is>
          <t>26-04</t>
        </is>
      </c>
      <c r="C98" s="10">
        <f>COUNTIF($B$13:B98,B98)</f>
        <v/>
      </c>
      <c r="D98" s="20" t="inlineStr">
        <is>
          <t>Karimova</t>
        </is>
      </c>
      <c r="E98" s="20" t="inlineStr">
        <is>
          <t>Shaxina</t>
        </is>
      </c>
      <c r="F98" s="21" t="inlineStr">
        <is>
          <t>Fayzullo qizi</t>
        </is>
      </c>
      <c r="G98" s="21">
        <f>Таблица1[[#This Row],[Familiyasi]]&amp;" "&amp;Таблица1[[#This Row],[Ismi]]&amp;" "&amp;Таблица1[[#This Row],[Otasining ismi]]</f>
        <v/>
      </c>
      <c r="H98" s="9" t="n"/>
      <c r="I98" s="21" t="n"/>
      <c r="J98" s="9" t="n"/>
      <c r="K98" s="21" t="n"/>
      <c r="L98" s="21" t="n"/>
      <c r="M98" s="21" t="n"/>
      <c r="N98" s="21" t="n"/>
      <c r="O98" s="21" t="n"/>
      <c r="P98" s="9" t="n"/>
      <c r="Q98" s="22" t="n"/>
    </row>
    <row r="99" ht="30" customHeight="1">
      <c r="A99" s="19" t="n">
        <v>46276</v>
      </c>
      <c r="B99" s="28" t="inlineStr">
        <is>
          <t>26-04</t>
        </is>
      </c>
      <c r="C99" s="10">
        <f>COUNTIF($B$13:B99,B99)</f>
        <v/>
      </c>
      <c r="D99" s="20" t="inlineStr">
        <is>
          <t>Mahmudova</t>
        </is>
      </c>
      <c r="E99" s="20" t="inlineStr">
        <is>
          <t>Gulsanam</t>
        </is>
      </c>
      <c r="F99" s="21" t="inlineStr">
        <is>
          <t>Nigmatovna</t>
        </is>
      </c>
      <c r="G99" s="21">
        <f>Таблица1[[#This Row],[Familiyasi]]&amp;" "&amp;Таблица1[[#This Row],[Ismi]]&amp;" "&amp;Таблица1[[#This Row],[Otasining ismi]]</f>
        <v/>
      </c>
      <c r="H99" s="9" t="n"/>
      <c r="I99" s="21" t="n"/>
      <c r="J99" s="9" t="n"/>
      <c r="K99" s="21" t="n"/>
      <c r="L99" s="21" t="n"/>
      <c r="M99" s="21" t="n"/>
      <c r="N99" s="21" t="n"/>
      <c r="O99" s="21" t="n"/>
      <c r="P99" s="9" t="n"/>
      <c r="Q99" s="22" t="n"/>
    </row>
    <row r="100" ht="30" customHeight="1">
      <c r="A100" s="19" t="n">
        <v>46283</v>
      </c>
      <c r="B100" s="28" t="inlineStr">
        <is>
          <t>26-04</t>
        </is>
      </c>
      <c r="C100" s="10">
        <f>COUNTIF($B$13:B100,B100)</f>
        <v/>
      </c>
      <c r="D100" s="20" t="inlineStr">
        <is>
          <t>Maxmudova</t>
        </is>
      </c>
      <c r="E100" s="20" t="inlineStr">
        <is>
          <t>Musallam</t>
        </is>
      </c>
      <c r="F100" s="21" t="inlineStr">
        <is>
          <t>Qamariddin qizi</t>
        </is>
      </c>
      <c r="G100" s="21">
        <f>Таблица1[[#This Row],[Familiyasi]]&amp;" "&amp;Таблица1[[#This Row],[Ismi]]&amp;" "&amp;Таблица1[[#This Row],[Otasining ismi]]</f>
        <v/>
      </c>
      <c r="H100" s="9" t="n"/>
      <c r="I100" s="21" t="n"/>
      <c r="J100" s="9" t="n"/>
      <c r="K100" s="21" t="n"/>
      <c r="L100" s="21" t="n"/>
      <c r="M100" s="21" t="n"/>
      <c r="N100" s="21" t="n"/>
      <c r="O100" s="21" t="n"/>
      <c r="P100" s="9" t="n"/>
      <c r="Q100" s="22" t="n"/>
    </row>
    <row r="101" ht="30" customHeight="1">
      <c r="A101" s="19" t="n">
        <v>46267</v>
      </c>
      <c r="B101" s="28" t="inlineStr">
        <is>
          <t>26-04</t>
        </is>
      </c>
      <c r="C101" s="10">
        <f>COUNTIF($B$13:B101,B101)</f>
        <v/>
      </c>
      <c r="D101" s="20" t="inlineStr">
        <is>
          <t>Murodova</t>
        </is>
      </c>
      <c r="E101" s="20" t="inlineStr">
        <is>
          <t>Ruxshona</t>
        </is>
      </c>
      <c r="F101" s="21" t="inlineStr">
        <is>
          <t>Ilhomovna</t>
        </is>
      </c>
      <c r="G101" s="21">
        <f>Таблица1[[#This Row],[Familiyasi]]&amp;" "&amp;Таблица1[[#This Row],[Ismi]]&amp;" "&amp;Таблица1[[#This Row],[Otasining ismi]]</f>
        <v/>
      </c>
      <c r="H101" s="9" t="inlineStr">
        <is>
          <t>10.09.2008</t>
        </is>
      </c>
      <c r="I101" s="21" t="inlineStr">
        <is>
          <t>ae3287114</t>
        </is>
      </c>
      <c r="J101" s="9" t="inlineStr">
        <is>
          <t>61009085680098</t>
        </is>
      </c>
      <c r="K101" s="21" t="inlineStr">
        <is>
          <t>07.07.2025</t>
        </is>
      </c>
      <c r="L101" s="21" t="inlineStr">
        <is>
          <t>um 03728240</t>
        </is>
      </c>
      <c r="M101" s="21" t="inlineStr">
        <is>
          <t>6-sonli umumiy o'rta ta'lim maktabi</t>
        </is>
      </c>
      <c r="N101" s="21" t="inlineStr">
        <is>
          <t>hamshiralik ishi - 3 yillik</t>
        </is>
      </c>
      <c r="O101" s="21" t="inlineStr">
        <is>
          <t>2026</t>
        </is>
      </c>
      <c r="P101" s="9" t="inlineStr">
        <is>
          <t>72</t>
        </is>
      </c>
      <c r="Q101" s="22" t="inlineStr">
        <is>
          <t>murodova ruhshona 72.docx</t>
        </is>
      </c>
    </row>
    <row r="102" ht="30" customHeight="1">
      <c r="A102" s="19" t="n">
        <v>46281</v>
      </c>
      <c r="B102" s="28" t="inlineStr">
        <is>
          <t>26-04</t>
        </is>
      </c>
      <c r="C102" s="10">
        <f>COUNTIF($B$13:B102,B102)</f>
        <v/>
      </c>
      <c r="D102" s="20" t="inlineStr">
        <is>
          <t>Nafasova</t>
        </is>
      </c>
      <c r="E102" s="20" t="inlineStr">
        <is>
          <t>Sevinch</t>
        </is>
      </c>
      <c r="F102" s="21" t="inlineStr">
        <is>
          <t>Bollijon qizi</t>
        </is>
      </c>
      <c r="G102" s="21">
        <f>Таблица1[[#This Row],[Familiyasi]]&amp;" "&amp;Таблица1[[#This Row],[Ismi]]&amp;" "&amp;Таблица1[[#This Row],[Otasining ismi]]</f>
        <v/>
      </c>
      <c r="H102" s="9" t="n"/>
      <c r="I102" s="21" t="n"/>
      <c r="J102" s="9" t="n"/>
      <c r="K102" s="21" t="n"/>
      <c r="L102" s="21" t="n"/>
      <c r="M102" s="21" t="n"/>
      <c r="N102" s="21" t="n"/>
      <c r="O102" s="21" t="n"/>
      <c r="P102" s="9" t="n"/>
      <c r="Q102" s="22" t="n"/>
    </row>
    <row r="103" ht="30" customHeight="1">
      <c r="A103" s="19" t="n">
        <v>46267</v>
      </c>
      <c r="B103" s="28" t="inlineStr">
        <is>
          <t>26-04</t>
        </is>
      </c>
      <c r="C103" s="10">
        <f>COUNTIF($B$13:B103,B103)</f>
        <v/>
      </c>
      <c r="D103" s="20" t="inlineStr">
        <is>
          <t>Pirnazarova</t>
        </is>
      </c>
      <c r="E103" s="20" t="inlineStr">
        <is>
          <t>Jasmina</t>
        </is>
      </c>
      <c r="F103" s="21" t="inlineStr">
        <is>
          <t>Olim qizi</t>
        </is>
      </c>
      <c r="G103" s="21">
        <f>Таблица1[[#This Row],[Familiyasi]]&amp;" "&amp;Таблица1[[#This Row],[Ismi]]&amp;" "&amp;Таблица1[[#This Row],[Otasining ismi]]</f>
        <v/>
      </c>
      <c r="H103" s="9" t="inlineStr">
        <is>
          <t>05.06.2008</t>
        </is>
      </c>
      <c r="I103" s="21" t="inlineStr">
        <is>
          <t>ae4198928</t>
        </is>
      </c>
      <c r="J103" s="9" t="inlineStr">
        <is>
          <t>60506085680077</t>
        </is>
      </c>
      <c r="K103" s="21" t="inlineStr">
        <is>
          <t>15.09.2025</t>
        </is>
      </c>
      <c r="L103" s="21" t="inlineStr">
        <is>
          <t>um 03729001</t>
        </is>
      </c>
      <c r="M103" s="21" t="inlineStr">
        <is>
          <t>32-sonli umumiy o'rta ta'lim maktabi</t>
        </is>
      </c>
      <c r="N103" s="21" t="inlineStr">
        <is>
          <t>hamshiralik ishi - 3 yillik</t>
        </is>
      </c>
      <c r="O103" s="21" t="inlineStr">
        <is>
          <t>2026</t>
        </is>
      </c>
      <c r="P103" s="9" t="inlineStr">
        <is>
          <t>13</t>
        </is>
      </c>
      <c r="Q103" s="22" t="inlineStr">
        <is>
          <t>pirnazarova  jasmina   13.docx</t>
        </is>
      </c>
    </row>
    <row r="104" ht="30" customHeight="1">
      <c r="A104" s="19" t="n">
        <v>46276</v>
      </c>
      <c r="B104" s="28" t="inlineStr">
        <is>
          <t>26-04</t>
        </is>
      </c>
      <c r="C104" s="10">
        <f>COUNTIF($B$13:B104,B104)</f>
        <v/>
      </c>
      <c r="D104" s="20" t="inlineStr">
        <is>
          <t>Qodirova</t>
        </is>
      </c>
      <c r="E104" s="20" t="inlineStr">
        <is>
          <t>Sabina</t>
        </is>
      </c>
      <c r="F104" s="21" t="inlineStr">
        <is>
          <t>Suxrob qizi</t>
        </is>
      </c>
      <c r="G104" s="21">
        <f>Таблица1[[#This Row],[Familiyasi]]&amp;" "&amp;Таблица1[[#This Row],[Ismi]]&amp;" "&amp;Таблица1[[#This Row],[Otasining ismi]]</f>
        <v/>
      </c>
      <c r="H104" s="9" t="n"/>
      <c r="I104" s="21" t="n"/>
      <c r="J104" s="9" t="n"/>
      <c r="K104" s="21" t="n"/>
      <c r="L104" s="21" t="n"/>
      <c r="M104" s="21" t="n"/>
      <c r="N104" s="21" t="n"/>
      <c r="O104" s="21" t="n"/>
      <c r="P104" s="9" t="n"/>
      <c r="Q104" s="22" t="n"/>
    </row>
    <row r="105" ht="30" customHeight="1">
      <c r="A105" s="19" t="n">
        <v>46276</v>
      </c>
      <c r="B105" s="28" t="inlineStr">
        <is>
          <t>26-04</t>
        </is>
      </c>
      <c r="C105" s="10">
        <f>COUNTIF($B$13:B105,B105)</f>
        <v/>
      </c>
      <c r="D105" s="20" t="inlineStr">
        <is>
          <t>Soyipova</t>
        </is>
      </c>
      <c r="E105" s="20" t="inlineStr">
        <is>
          <t>Dinora</t>
        </is>
      </c>
      <c r="F105" s="21" t="inlineStr">
        <is>
          <t>Sanjar qizi</t>
        </is>
      </c>
      <c r="G105" s="21">
        <f>Таблица1[[#This Row],[Familiyasi]]&amp;" "&amp;Таблица1[[#This Row],[Ismi]]&amp;" "&amp;Таблица1[[#This Row],[Otasining ismi]]</f>
        <v/>
      </c>
      <c r="H105" s="9" t="n"/>
      <c r="I105" s="21" t="n"/>
      <c r="J105" s="9" t="n"/>
      <c r="K105" s="21" t="n"/>
      <c r="L105" s="21" t="n"/>
      <c r="M105" s="21" t="n"/>
      <c r="N105" s="21" t="n"/>
      <c r="O105" s="21" t="n"/>
      <c r="P105" s="9" t="n"/>
      <c r="Q105" s="22" t="n"/>
    </row>
    <row r="106" ht="30" customHeight="1">
      <c r="A106" s="19" t="n">
        <v>46283</v>
      </c>
      <c r="B106" s="28" t="inlineStr">
        <is>
          <t>26-04</t>
        </is>
      </c>
      <c r="C106" s="10">
        <f>COUNTIF($B$13:B106,B106)</f>
        <v/>
      </c>
      <c r="D106" s="49" t="inlineStr">
        <is>
          <t>Suyarova</t>
        </is>
      </c>
      <c r="E106" s="20" t="inlineStr">
        <is>
          <t>Dinora</t>
        </is>
      </c>
      <c r="F106" s="21" t="inlineStr">
        <is>
          <t>Sodiq qizi</t>
        </is>
      </c>
      <c r="G106" s="21">
        <f>Таблица1[[#This Row],[Familiyasi]]&amp;" "&amp;Таблица1[[#This Row],[Ismi]]&amp;" "&amp;Таблица1[[#This Row],[Otasining ismi]]</f>
        <v/>
      </c>
      <c r="H106" s="9" t="n"/>
      <c r="I106" s="21" t="n"/>
      <c r="J106" s="9" t="n"/>
      <c r="K106" s="21" t="n"/>
      <c r="L106" s="21" t="n"/>
      <c r="M106" s="21" t="n"/>
      <c r="N106" s="21" t="n"/>
      <c r="O106" s="21" t="n"/>
      <c r="P106" s="9" t="n"/>
      <c r="Q106" s="22" t="n"/>
    </row>
    <row r="107" ht="30" customHeight="1">
      <c r="A107" s="19" t="n">
        <v>46267</v>
      </c>
      <c r="B107" s="28" t="inlineStr">
        <is>
          <t>26-04</t>
        </is>
      </c>
      <c r="C107" s="10">
        <f>COUNTIF($B$13:B107,B107)</f>
        <v/>
      </c>
      <c r="D107" s="20" t="inlineStr">
        <is>
          <t>Temirboyeva</t>
        </is>
      </c>
      <c r="E107" s="20" t="inlineStr">
        <is>
          <t>Iroda</t>
        </is>
      </c>
      <c r="F107" s="21" t="inlineStr">
        <is>
          <t>Baxtiyor qizi</t>
        </is>
      </c>
      <c r="G107" s="21">
        <f>Таблица1[[#This Row],[Familiyasi]]&amp;" "&amp;Таблица1[[#This Row],[Ismi]]&amp;" "&amp;Таблица1[[#This Row],[Otasining ismi]]</f>
        <v/>
      </c>
      <c r="H107" s="9" t="inlineStr">
        <is>
          <t>01.12.2007</t>
        </is>
      </c>
      <c r="I107" s="21" t="inlineStr">
        <is>
          <t>ad6024952</t>
        </is>
      </c>
      <c r="J107" s="9" t="inlineStr">
        <is>
          <t>60112075590084</t>
        </is>
      </c>
      <c r="K107" s="21" t="inlineStr">
        <is>
          <t>05.02.2024</t>
        </is>
      </c>
      <c r="L107" s="21" t="inlineStr">
        <is>
          <t>um 03296212</t>
        </is>
      </c>
      <c r="M107" s="21" t="inlineStr">
        <is>
          <t>14-sonli umumiy o'rta ta'lim maktabi</t>
        </is>
      </c>
      <c r="N107" s="21" t="inlineStr">
        <is>
          <t>hamshiralik ishi - 2 yillik</t>
        </is>
      </c>
      <c r="O107" s="21" t="inlineStr">
        <is>
          <t>2025</t>
        </is>
      </c>
      <c r="P107" s="9" t="inlineStr">
        <is>
          <t>20</t>
        </is>
      </c>
      <c r="Q107" s="22" t="inlineStr">
        <is>
          <t>temirboyeva iroda 20.docx</t>
        </is>
      </c>
    </row>
    <row r="108" ht="30" customHeight="1">
      <c r="A108" s="19" t="n">
        <v>46277</v>
      </c>
      <c r="B108" s="28" t="inlineStr">
        <is>
          <t>26-04</t>
        </is>
      </c>
      <c r="C108" s="10">
        <f>COUNTIF($B$13:B108,B108)</f>
        <v/>
      </c>
      <c r="D108" s="20" t="inlineStr">
        <is>
          <t>Tuychiyeva</t>
        </is>
      </c>
      <c r="E108" s="20" t="inlineStr">
        <is>
          <t>Farzona</t>
        </is>
      </c>
      <c r="F108" s="21" t="inlineStr">
        <is>
          <t>Dalerovna</t>
        </is>
      </c>
      <c r="G108" s="21">
        <f>Таблица1[[#This Row],[Familiyasi]]&amp;" "&amp;Таблица1[[#This Row],[Ismi]]&amp;" "&amp;Таблица1[[#This Row],[Otasining ismi]]</f>
        <v/>
      </c>
      <c r="H108" s="9" t="inlineStr">
        <is>
          <t>05.08.2009</t>
        </is>
      </c>
      <c r="I108" s="21" t="inlineStr">
        <is>
          <t>AE4114421</t>
        </is>
      </c>
      <c r="J108" s="9" t="n"/>
      <c r="K108" s="21" t="inlineStr">
        <is>
          <t>09.09.2025</t>
        </is>
      </c>
      <c r="L108" s="21" t="inlineStr">
        <is>
          <t>UM 00064269</t>
        </is>
      </c>
      <c r="M108" s="21" t="inlineStr">
        <is>
          <t>34-sonli umumiy o'rta ta'lim maktabi</t>
        </is>
      </c>
      <c r="N108" s="21" t="n"/>
      <c r="O108" s="21" t="inlineStr">
        <is>
          <t>2026</t>
        </is>
      </c>
      <c r="P108" s="9" t="inlineStr">
        <is>
          <t>280</t>
        </is>
      </c>
      <c r="Q108" s="22" t="n"/>
    </row>
    <row r="109" ht="30" customHeight="1">
      <c r="A109" s="19" t="n">
        <v>46267</v>
      </c>
      <c r="B109" s="28" t="inlineStr">
        <is>
          <t>26-04</t>
        </is>
      </c>
      <c r="C109" s="10">
        <f>COUNTIF($B$13:B109,B109)</f>
        <v/>
      </c>
      <c r="D109" s="20" t="inlineStr">
        <is>
          <t>Xamdamova</t>
        </is>
      </c>
      <c r="E109" s="20" t="inlineStr">
        <is>
          <t>Madina</t>
        </is>
      </c>
      <c r="F109" s="21" t="inlineStr">
        <is>
          <t>Abdiqodir qizi</t>
        </is>
      </c>
      <c r="G109" s="21">
        <f>Таблица1[[#This Row],[Familiyasi]]&amp;" "&amp;Таблица1[[#This Row],[Ismi]]&amp;" "&amp;Таблица1[[#This Row],[Otasining ismi]]</f>
        <v/>
      </c>
      <c r="H109" s="9" t="inlineStr">
        <is>
          <t>27.01.2001</t>
        </is>
      </c>
      <c r="I109" s="21" t="inlineStr">
        <is>
          <t>ab8517012</t>
        </is>
      </c>
      <c r="J109" s="9" t="inlineStr">
        <is>
          <t>62701015680026</t>
        </is>
      </c>
      <c r="K109" s="21" t="inlineStr">
        <is>
          <t>07.01.2018</t>
        </is>
      </c>
      <c r="L109" s="21" t="inlineStr">
        <is>
          <t>k 5487959</t>
        </is>
      </c>
      <c r="M109" s="21" t="inlineStr">
        <is>
          <t>kitob qishloq xo'jalik kasb-hunar kolleji</t>
        </is>
      </c>
      <c r="N109" s="21" t="inlineStr">
        <is>
          <t>hamshiralik ishi - 3 yillik</t>
        </is>
      </c>
      <c r="O109" s="21" t="inlineStr">
        <is>
          <t>2019</t>
        </is>
      </c>
      <c r="P109" s="9" t="inlineStr">
        <is>
          <t>14</t>
        </is>
      </c>
      <c r="Q109" s="22" t="inlineStr">
        <is>
          <t>xamdamova madina 14.docx</t>
        </is>
      </c>
    </row>
    <row r="110" ht="30" customHeight="1">
      <c r="A110" s="19" t="n">
        <v>46267</v>
      </c>
      <c r="B110" s="28" t="inlineStr">
        <is>
          <t>26-04</t>
        </is>
      </c>
      <c r="C110" s="10">
        <f>COUNTIF($B$13:B110,B110)</f>
        <v/>
      </c>
      <c r="D110" s="20" t="inlineStr">
        <is>
          <t>Xannonova</t>
        </is>
      </c>
      <c r="E110" s="20" t="inlineStr">
        <is>
          <t>Shoxsanam</t>
        </is>
      </c>
      <c r="F110" s="21" t="inlineStr">
        <is>
          <t>Orif qizi</t>
        </is>
      </c>
      <c r="G110" s="21">
        <f>Таблица1[[#This Row],[Familiyasi]]&amp;" "&amp;Таблица1[[#This Row],[Ismi]]&amp;" "&amp;Таблица1[[#This Row],[Otasining ismi]]</f>
        <v/>
      </c>
      <c r="H110" s="9" t="inlineStr">
        <is>
          <t>02.06.2004</t>
        </is>
      </c>
      <c r="I110" s="21" t="inlineStr">
        <is>
          <t>ad0284895</t>
        </is>
      </c>
      <c r="J110" s="9" t="inlineStr">
        <is>
          <t>60206045680052</t>
        </is>
      </c>
      <c r="K110" s="21" t="inlineStr">
        <is>
          <t>01.04.2021</t>
        </is>
      </c>
      <c r="L110" s="21" t="inlineStr"/>
      <c r="M110" s="21" t="inlineStr"/>
      <c r="N110" s="21" t="inlineStr">
        <is>
          <t>hamshiralik ishi - 3 yillik</t>
        </is>
      </c>
      <c r="O110" s="21" t="inlineStr"/>
      <c r="P110" s="9" t="inlineStr">
        <is>
          <t>181</t>
        </is>
      </c>
      <c r="Q110" s="22" t="inlineStr">
        <is>
          <t>xannonova shoxsanam n 181.docx</t>
        </is>
      </c>
    </row>
    <row r="111" ht="30" customHeight="1">
      <c r="A111" s="19" t="n">
        <v>46283</v>
      </c>
      <c r="B111" s="28" t="inlineStr">
        <is>
          <t>26-04</t>
        </is>
      </c>
      <c r="C111" s="10">
        <f>COUNTIF($B$13:B111,B111)</f>
        <v/>
      </c>
      <c r="D111" s="49" t="inlineStr">
        <is>
          <t>Xoʻjaqulova</t>
        </is>
      </c>
      <c r="E111" s="20" t="inlineStr">
        <is>
          <t>Navbahor</t>
        </is>
      </c>
      <c r="F111" s="21" t="inlineStr">
        <is>
          <t>Azim qizi</t>
        </is>
      </c>
      <c r="G111" s="21">
        <f>Таблица1[[#This Row],[Familiyasi]]&amp;" "&amp;Таблица1[[#This Row],[Ismi]]&amp;" "&amp;Таблица1[[#This Row],[Otasining ismi]]</f>
        <v/>
      </c>
      <c r="H111" s="9" t="n"/>
      <c r="I111" s="21" t="n"/>
      <c r="J111" s="9" t="n"/>
      <c r="K111" s="21" t="n"/>
      <c r="L111" s="21" t="n"/>
      <c r="M111" s="21" t="n"/>
      <c r="N111" s="21" t="n"/>
      <c r="O111" s="21" t="n"/>
      <c r="P111" s="9" t="n"/>
      <c r="Q111" s="22" t="n"/>
    </row>
    <row r="112" ht="30" customHeight="1">
      <c r="A112" s="19" t="n">
        <v>46283</v>
      </c>
      <c r="B112" s="28" t="inlineStr">
        <is>
          <t>26-04</t>
        </is>
      </c>
      <c r="C112" s="10">
        <f>COUNTIF($B$13:B112,B112)</f>
        <v/>
      </c>
      <c r="D112" s="49" t="inlineStr">
        <is>
          <t>Xolmurodova</t>
        </is>
      </c>
      <c r="E112" s="20" t="inlineStr">
        <is>
          <t>Dilnura</t>
        </is>
      </c>
      <c r="F112" s="21" t="inlineStr">
        <is>
          <t>Dilmurod qizi</t>
        </is>
      </c>
      <c r="G112" s="21">
        <f>Таблица1[[#This Row],[Familiyasi]]&amp;" "&amp;Таблица1[[#This Row],[Ismi]]&amp;" "&amp;Таблица1[[#This Row],[Otasining ismi]]</f>
        <v/>
      </c>
      <c r="H112" s="9" t="n"/>
      <c r="I112" s="21" t="n"/>
      <c r="J112" s="9" t="n"/>
      <c r="K112" s="21" t="n"/>
      <c r="L112" s="21" t="n"/>
      <c r="M112" s="21" t="n"/>
      <c r="N112" s="21" t="n"/>
      <c r="O112" s="21" t="n"/>
      <c r="P112" s="9" t="n"/>
      <c r="Q112" s="22" t="n"/>
    </row>
    <row r="113" ht="30" customHeight="1">
      <c r="A113" s="19" t="n">
        <v>46267</v>
      </c>
      <c r="B113" s="28" t="inlineStr">
        <is>
          <t>26-04</t>
        </is>
      </c>
      <c r="C113" s="10">
        <f>COUNTIF($B$13:B113,B113)</f>
        <v/>
      </c>
      <c r="D113" s="20" t="inlineStr">
        <is>
          <t>Xurramova</t>
        </is>
      </c>
      <c r="E113" s="20" t="inlineStr">
        <is>
          <t>Shahnoza</t>
        </is>
      </c>
      <c r="F113" s="21" t="inlineStr">
        <is>
          <t>Shuhrat qizi</t>
        </is>
      </c>
      <c r="G113" s="21">
        <f>Таблица1[[#This Row],[Familiyasi]]&amp;" "&amp;Таблица1[[#This Row],[Ismi]]&amp;" "&amp;Таблица1[[#This Row],[Otasining ismi]]</f>
        <v/>
      </c>
      <c r="H113" s="9" t="inlineStr">
        <is>
          <t>04.11.2001</t>
        </is>
      </c>
      <c r="I113" s="21" t="inlineStr">
        <is>
          <t>ac1847101</t>
        </is>
      </c>
      <c r="J113" s="9" t="inlineStr">
        <is>
          <t>60411015680031</t>
        </is>
      </c>
      <c r="K113" s="21" t="inlineStr">
        <is>
          <t>24.04.2019</t>
        </is>
      </c>
      <c r="L113" s="21" t="inlineStr">
        <is>
          <t>um 0084478</t>
        </is>
      </c>
      <c r="M113" s="21" t="inlineStr">
        <is>
          <t>kitob tumani 3-sonli umumiy o'rta ta'lim maktabi</t>
        </is>
      </c>
      <c r="N113" s="21" t="inlineStr">
        <is>
          <t>hamshiralik ishi - 3 yillik</t>
        </is>
      </c>
      <c r="O113" s="21" t="inlineStr">
        <is>
          <t>2019</t>
        </is>
      </c>
      <c r="P113" s="9" t="inlineStr">
        <is>
          <t>29</t>
        </is>
      </c>
      <c r="Q113" s="22" t="inlineStr">
        <is>
          <t>xurramova shahnoza 29.docx</t>
        </is>
      </c>
    </row>
    <row r="114" ht="30" customHeight="1">
      <c r="A114" s="19" t="n">
        <v>46267</v>
      </c>
      <c r="B114" s="28" t="inlineStr">
        <is>
          <t>26-04</t>
        </is>
      </c>
      <c r="C114" s="10">
        <f>COUNTIF($B$13:B114,B114)</f>
        <v/>
      </c>
      <c r="D114" s="20" t="inlineStr">
        <is>
          <t>Xurramova</t>
        </is>
      </c>
      <c r="E114" s="20" t="inlineStr">
        <is>
          <t>Shahrizoda</t>
        </is>
      </c>
      <c r="F114" s="21" t="inlineStr">
        <is>
          <t>Shuhrat qizi</t>
        </is>
      </c>
      <c r="G114" s="21">
        <f>Таблица1[[#This Row],[Familiyasi]]&amp;" "&amp;Таблица1[[#This Row],[Ismi]]&amp;" "&amp;Таблица1[[#This Row],[Otasining ismi]]</f>
        <v/>
      </c>
      <c r="H114" s="9" t="inlineStr">
        <is>
          <t>30.04.2007</t>
        </is>
      </c>
      <c r="I114" s="21" t="inlineStr">
        <is>
          <t>ad4921163</t>
        </is>
      </c>
      <c r="J114" s="9" t="inlineStr">
        <is>
          <t>63004075680030</t>
        </is>
      </c>
      <c r="K114" s="21" t="inlineStr">
        <is>
          <t>20.10.2023</t>
        </is>
      </c>
      <c r="L114" s="21" t="inlineStr">
        <is>
          <t>um 02149677</t>
        </is>
      </c>
      <c r="M114" s="21" t="inlineStr">
        <is>
          <t>3-sonli umumiy o'rta ta'lim maktabi</t>
        </is>
      </c>
      <c r="N114" s="21" t="inlineStr">
        <is>
          <t>hamshiralik ishi - 3 yillik</t>
        </is>
      </c>
      <c r="O114" s="21" t="inlineStr">
        <is>
          <t>2024</t>
        </is>
      </c>
      <c r="P114" s="9" t="inlineStr">
        <is>
          <t>96</t>
        </is>
      </c>
      <c r="Q114" s="22" t="inlineStr">
        <is>
          <t>xurramova shahrizoda 96.docx</t>
        </is>
      </c>
    </row>
    <row r="115" ht="30" customHeight="1">
      <c r="A115" s="19" t="n">
        <v>46267</v>
      </c>
      <c r="B115" s="28" t="inlineStr">
        <is>
          <t>26-04</t>
        </is>
      </c>
      <c r="C115" s="10">
        <f>COUNTIF($B$13:B115,B115)</f>
        <v/>
      </c>
      <c r="D115" s="20" t="inlineStr">
        <is>
          <t>Xusanova</t>
        </is>
      </c>
      <c r="E115" s="20" t="inlineStr">
        <is>
          <t>Aziza</t>
        </is>
      </c>
      <c r="F115" s="21" t="inlineStr">
        <is>
          <t>Fazliddin qizi</t>
        </is>
      </c>
      <c r="G115" s="21">
        <f>Таблица1[[#This Row],[Familiyasi]]&amp;" "&amp;Таблица1[[#This Row],[Ismi]]&amp;" "&amp;Таблица1[[#This Row],[Otasining ismi]]</f>
        <v/>
      </c>
      <c r="H115" s="9" t="inlineStr">
        <is>
          <t>01.10.2008</t>
        </is>
      </c>
      <c r="I115" s="21" t="inlineStr">
        <is>
          <t>ae5015467</t>
        </is>
      </c>
      <c r="J115" s="9" t="inlineStr">
        <is>
          <t>60110085590028</t>
        </is>
      </c>
      <c r="K115" s="21" t="inlineStr">
        <is>
          <t>12.11.2025</t>
        </is>
      </c>
      <c r="L115" s="21" t="inlineStr">
        <is>
          <t>um 03753649</t>
        </is>
      </c>
      <c r="M115" s="21" t="inlineStr">
        <is>
          <t>15-sonli umumiy o'rta ta'lim maktabi</t>
        </is>
      </c>
      <c r="N115" s="21" t="inlineStr">
        <is>
          <t>hamshiralik ishi - 3 yillik</t>
        </is>
      </c>
      <c r="O115" s="21" t="inlineStr">
        <is>
          <t>2026</t>
        </is>
      </c>
      <c r="P115" s="9" t="inlineStr">
        <is>
          <t>196</t>
        </is>
      </c>
      <c r="Q115" s="22" t="inlineStr">
        <is>
          <t>xusanova aziza 196.docx</t>
        </is>
      </c>
    </row>
    <row r="116" ht="30" customHeight="1">
      <c r="A116" s="19" t="n">
        <v>46267</v>
      </c>
      <c r="B116" s="28" t="inlineStr">
        <is>
          <t>26-04</t>
        </is>
      </c>
      <c r="C116" s="10">
        <f>COUNTIF($B$13:B120,B116)</f>
        <v/>
      </c>
      <c r="D116" s="20" t="inlineStr">
        <is>
          <t>Zayidova</t>
        </is>
      </c>
      <c r="E116" s="20" t="inlineStr">
        <is>
          <t>Shaboda</t>
        </is>
      </c>
      <c r="F116" s="21" t="inlineStr">
        <is>
          <t>Sodiqovna</t>
        </is>
      </c>
      <c r="G116" s="21">
        <f>Таблица1[[#This Row],[Familiyasi]]&amp;" "&amp;Таблица1[[#This Row],[Ismi]]&amp;" "&amp;Таблица1[[#This Row],[Otasining ismi]]</f>
        <v/>
      </c>
      <c r="H116" s="9" t="inlineStr">
        <is>
          <t>31.12.2008</t>
        </is>
      </c>
      <c r="I116" s="21" t="inlineStr">
        <is>
          <t>ae5856503</t>
        </is>
      </c>
      <c r="J116" s="9" t="inlineStr">
        <is>
          <t>6312085680039</t>
        </is>
      </c>
      <c r="K116" s="21" t="inlineStr">
        <is>
          <t>14.01.2026</t>
        </is>
      </c>
      <c r="L116" s="21" t="inlineStr">
        <is>
          <t>um 03729571</t>
        </is>
      </c>
      <c r="M116" s="21" t="inlineStr">
        <is>
          <t>53-sonli umumiy o'rta ta'lim maktabini</t>
        </is>
      </c>
      <c r="N116" s="21" t="inlineStr">
        <is>
          <t>hamshiralik ishi - 3 yillik</t>
        </is>
      </c>
      <c r="O116" s="21" t="inlineStr">
        <is>
          <t>2026</t>
        </is>
      </c>
      <c r="P116" s="9" t="inlineStr">
        <is>
          <t>387</t>
        </is>
      </c>
      <c r="Q116" s="22" t="inlineStr">
        <is>
          <t>zayidova shabboda 387.docx</t>
        </is>
      </c>
    </row>
    <row r="117" ht="30" customHeight="1">
      <c r="A117" s="19" t="n">
        <v>46267</v>
      </c>
      <c r="B117" s="28" t="inlineStr">
        <is>
          <t>26-05</t>
        </is>
      </c>
      <c r="C117" s="10">
        <f>COUNTIF($B$13:B117,B117)</f>
        <v/>
      </c>
      <c r="D117" s="20" t="inlineStr">
        <is>
          <t>Abdishukurova</t>
        </is>
      </c>
      <c r="E117" s="20" t="inlineStr">
        <is>
          <t>Gulsevar</t>
        </is>
      </c>
      <c r="F117" s="21" t="inlineStr">
        <is>
          <t>Xusniddin qizi</t>
        </is>
      </c>
      <c r="G117" s="21">
        <f>Таблица1[[#This Row],[Familiyasi]]&amp;" "&amp;Таблица1[[#This Row],[Ismi]]&amp;" "&amp;Таблица1[[#This Row],[Otasining ismi]]</f>
        <v/>
      </c>
      <c r="H117" s="9" t="inlineStr">
        <is>
          <t>06.09.2008</t>
        </is>
      </c>
      <c r="I117" s="21" t="inlineStr">
        <is>
          <t>ae4148917</t>
        </is>
      </c>
      <c r="J117" s="9" t="inlineStr">
        <is>
          <t>60609085720090</t>
        </is>
      </c>
      <c r="K117" s="21" t="inlineStr">
        <is>
          <t>11.09.2025</t>
        </is>
      </c>
      <c r="L117" s="21" t="inlineStr">
        <is>
          <t>um 03719993</t>
        </is>
      </c>
      <c r="M117" s="21" t="inlineStr">
        <is>
          <t>109-sonli umumiy o'rta ta'lim maktabi</t>
        </is>
      </c>
      <c r="N117" s="21" t="inlineStr">
        <is>
          <t>hamshiralik ishi - 3 yillik</t>
        </is>
      </c>
      <c r="O117" s="21" t="inlineStr">
        <is>
          <t>2026</t>
        </is>
      </c>
      <c r="P117" s="9" t="inlineStr">
        <is>
          <t>238</t>
        </is>
      </c>
      <c r="Q117" s="22" t="inlineStr">
        <is>
          <t>abdishukurova gulsevar 238.docx</t>
        </is>
      </c>
    </row>
    <row r="118" ht="30" customHeight="1">
      <c r="A118" s="19" t="n">
        <v>46267</v>
      </c>
      <c r="B118" s="28" t="inlineStr">
        <is>
          <t>26-05</t>
        </is>
      </c>
      <c r="C118" s="10">
        <f>COUNTIF($B$13:B118,B118)</f>
        <v/>
      </c>
      <c r="D118" s="20" t="inlineStr">
        <is>
          <t>Ashirova</t>
        </is>
      </c>
      <c r="E118" s="20" t="inlineStr">
        <is>
          <t>Gulsanam</t>
        </is>
      </c>
      <c r="F118" s="21" t="inlineStr">
        <is>
          <t>Abduvali qizi</t>
        </is>
      </c>
      <c r="G118" s="21">
        <f>Таблица1[[#This Row],[Familiyasi]]&amp;" "&amp;Таблица1[[#This Row],[Ismi]]&amp;" "&amp;Таблица1[[#This Row],[Otasining ismi]]</f>
        <v/>
      </c>
      <c r="H118" s="9" t="inlineStr">
        <is>
          <t>23.11.2006</t>
        </is>
      </c>
      <c r="I118" s="21" t="inlineStr">
        <is>
          <t>ad6820021</t>
        </is>
      </c>
      <c r="J118" s="9" t="inlineStr">
        <is>
          <t>62311065590082</t>
        </is>
      </c>
      <c r="K118" s="21" t="inlineStr">
        <is>
          <t>15.04.2024</t>
        </is>
      </c>
      <c r="L118" s="21" t="inlineStr">
        <is>
          <t>um 03297113</t>
        </is>
      </c>
      <c r="M118" s="21" t="inlineStr">
        <is>
          <t>15-sonli umumiy o'rta ta'lim maktabi</t>
        </is>
      </c>
      <c r="N118" s="21" t="inlineStr">
        <is>
          <t>hamshiralik ishi - 3 yillik</t>
        </is>
      </c>
      <c r="O118" s="21" t="inlineStr">
        <is>
          <t>2025</t>
        </is>
      </c>
      <c r="P118" s="9" t="inlineStr">
        <is>
          <t>224</t>
        </is>
      </c>
      <c r="Q118" s="22" t="inlineStr">
        <is>
          <t>ashirova gulsanam 224.docx</t>
        </is>
      </c>
    </row>
    <row r="119" ht="30" customHeight="1">
      <c r="A119" s="19" t="n">
        <v>46267</v>
      </c>
      <c r="B119" s="28" t="inlineStr">
        <is>
          <t>26-05</t>
        </is>
      </c>
      <c r="C119" s="10">
        <f>COUNTIF($B$13:B119,B119)</f>
        <v/>
      </c>
      <c r="D119" s="20" t="inlineStr">
        <is>
          <t>Axmadova</t>
        </is>
      </c>
      <c r="E119" s="20" t="inlineStr">
        <is>
          <t>Munisa</t>
        </is>
      </c>
      <c r="F119" s="21" t="inlineStr">
        <is>
          <t>Bekzod qizi</t>
        </is>
      </c>
      <c r="G119" s="21">
        <f>Таблица1[[#This Row],[Familiyasi]]&amp;" "&amp;Таблица1[[#This Row],[Ismi]]&amp;" "&amp;Таблица1[[#This Row],[Otasining ismi]]</f>
        <v/>
      </c>
      <c r="H119" s="9" t="inlineStr">
        <is>
          <t>04.09.2008</t>
        </is>
      </c>
      <c r="I119" s="21" t="inlineStr">
        <is>
          <t>ae4831229</t>
        </is>
      </c>
      <c r="J119" s="9" t="inlineStr">
        <is>
          <t>60409085680037</t>
        </is>
      </c>
      <c r="K119" s="21" t="inlineStr">
        <is>
          <t>30.10.2025</t>
        </is>
      </c>
      <c r="L119" s="21" t="inlineStr">
        <is>
          <t>um 03729337</t>
        </is>
      </c>
      <c r="M119" s="21" t="inlineStr">
        <is>
          <t>46-sonli umumiy o'rta ta'lim maktabi</t>
        </is>
      </c>
      <c r="N119" s="21" t="inlineStr">
        <is>
          <t>hamshiralik ishi - 3 yillik</t>
        </is>
      </c>
      <c r="O119" s="21" t="inlineStr">
        <is>
          <t>2026</t>
        </is>
      </c>
      <c r="P119" s="9" t="inlineStr">
        <is>
          <t>33</t>
        </is>
      </c>
      <c r="Q119" s="22" t="inlineStr">
        <is>
          <t>axmadova munisa 33.docx</t>
        </is>
      </c>
    </row>
    <row r="120" ht="30" customHeight="1">
      <c r="A120" s="19" t="n">
        <v>46267</v>
      </c>
      <c r="B120" s="28" t="inlineStr">
        <is>
          <t>26-05</t>
        </is>
      </c>
      <c r="C120" s="10">
        <f>COUNTIF($B$13:B120,B120)</f>
        <v/>
      </c>
      <c r="D120" s="20" t="inlineStr">
        <is>
          <t>Berdimurodova</t>
        </is>
      </c>
      <c r="E120" s="20" t="inlineStr">
        <is>
          <t>Nafosat</t>
        </is>
      </c>
      <c r="F120" s="21" t="inlineStr">
        <is>
          <t>Javlon qizi</t>
        </is>
      </c>
      <c r="G120" s="21">
        <f>Таблица1[[#This Row],[Familiyasi]]&amp;" "&amp;Таблица1[[#This Row],[Ismi]]&amp;" "&amp;Таблица1[[#This Row],[Otasining ismi]]</f>
        <v/>
      </c>
      <c r="H120" s="9" t="inlineStr">
        <is>
          <t>09.04.2007</t>
        </is>
      </c>
      <c r="I120" s="21" t="inlineStr">
        <is>
          <t>ad9709558</t>
        </is>
      </c>
      <c r="J120" s="9" t="inlineStr">
        <is>
          <t>60904075590028</t>
        </is>
      </c>
      <c r="K120" s="21" t="inlineStr">
        <is>
          <t>06.12.2024</t>
        </is>
      </c>
      <c r="L120" s="21" t="inlineStr">
        <is>
          <t>um 03273940</t>
        </is>
      </c>
      <c r="M120" s="21" t="inlineStr">
        <is>
          <t>21-sonli umumiy o'rta ta'lim maktabi</t>
        </is>
      </c>
      <c r="N120" s="21" t="inlineStr">
        <is>
          <t>hamshiralik ishi - 3 yillik</t>
        </is>
      </c>
      <c r="O120" s="21" t="inlineStr">
        <is>
          <t>2025</t>
        </is>
      </c>
      <c r="P120" s="9" t="inlineStr">
        <is>
          <t>46</t>
        </is>
      </c>
      <c r="Q120" s="22" t="inlineStr">
        <is>
          <t>berdimurodova nafosat 46.docx</t>
        </is>
      </c>
    </row>
    <row r="121" ht="30" customHeight="1">
      <c r="A121" s="19" t="n">
        <v>46267</v>
      </c>
      <c r="B121" s="28" t="inlineStr">
        <is>
          <t>26-05</t>
        </is>
      </c>
      <c r="C121" s="10">
        <f>COUNTIF($B$13:B121,B121)</f>
        <v/>
      </c>
      <c r="D121" s="20" t="inlineStr">
        <is>
          <t>Choriyeva</t>
        </is>
      </c>
      <c r="E121" s="20" t="inlineStr">
        <is>
          <t>Zaxro</t>
        </is>
      </c>
      <c r="F121" s="21" t="inlineStr">
        <is>
          <t>Xayrullo qizi</t>
        </is>
      </c>
      <c r="G121" s="21">
        <f>Таблица1[[#This Row],[Familiyasi]]&amp;" "&amp;Таблица1[[#This Row],[Ismi]]&amp;" "&amp;Таблица1[[#This Row],[Otasining ismi]]</f>
        <v/>
      </c>
      <c r="H121" s="9" t="inlineStr">
        <is>
          <t>28.02.2008</t>
        </is>
      </c>
      <c r="I121" s="21" t="inlineStr">
        <is>
          <t>ad9654318</t>
        </is>
      </c>
      <c r="J121" s="9" t="inlineStr">
        <is>
          <t>62802085590063</t>
        </is>
      </c>
      <c r="K121" s="21" t="inlineStr">
        <is>
          <t>03.12.2024</t>
        </is>
      </c>
      <c r="L121" s="21" t="inlineStr">
        <is>
          <t>pt 0017576</t>
        </is>
      </c>
      <c r="M121" s="21" t="inlineStr">
        <is>
          <t>shahrisabz shahar 2-son politexnikumi</t>
        </is>
      </c>
      <c r="N121" s="21" t="inlineStr">
        <is>
          <t>hamshiralik ishi - 3 yillik</t>
        </is>
      </c>
      <c r="O121" s="21" t="inlineStr">
        <is>
          <t>2025</t>
        </is>
      </c>
      <c r="P121" s="9" t="inlineStr">
        <is>
          <t>109</t>
        </is>
      </c>
      <c r="Q121" s="22" t="inlineStr">
        <is>
          <t>choriyeva zahro 109.docx</t>
        </is>
      </c>
    </row>
    <row r="122" ht="30" customHeight="1">
      <c r="A122" s="19" t="n">
        <v>46267</v>
      </c>
      <c r="B122" s="28" t="inlineStr">
        <is>
          <t>26-05</t>
        </is>
      </c>
      <c r="C122" s="10">
        <f>COUNTIF($B$13:B122,B122)</f>
        <v/>
      </c>
      <c r="D122" s="20" t="inlineStr">
        <is>
          <t>Ergashova</t>
        </is>
      </c>
      <c r="E122" s="20" t="inlineStr">
        <is>
          <t>Shabbona</t>
        </is>
      </c>
      <c r="F122" s="21" t="inlineStr">
        <is>
          <t>Shodmon qizi</t>
        </is>
      </c>
      <c r="G122" s="21">
        <f>Таблица1[[#This Row],[Familiyasi]]&amp;" "&amp;Таблица1[[#This Row],[Ismi]]&amp;" "&amp;Таблица1[[#This Row],[Otasining ismi]]</f>
        <v/>
      </c>
      <c r="H122" s="9" t="inlineStr">
        <is>
          <t>18.03.2008</t>
        </is>
      </c>
      <c r="I122" s="21" t="inlineStr">
        <is>
          <t>ae2374828</t>
        </is>
      </c>
      <c r="J122" s="9" t="inlineStr">
        <is>
          <t>61803085680050</t>
        </is>
      </c>
      <c r="K122" s="21" t="inlineStr">
        <is>
          <t>17.04.2025</t>
        </is>
      </c>
      <c r="L122" s="21" t="inlineStr">
        <is>
          <t>pt 0030461</t>
        </is>
      </c>
      <c r="M122" s="21" t="inlineStr">
        <is>
          <t>kitob tuman 2-son texnikumi</t>
        </is>
      </c>
      <c r="N122" s="21" t="inlineStr">
        <is>
          <t>hamshiralik ishi - 3 yillik</t>
        </is>
      </c>
      <c r="O122" s="21" t="inlineStr">
        <is>
          <t>2026</t>
        </is>
      </c>
      <c r="P122" s="9" t="inlineStr">
        <is>
          <t>123</t>
        </is>
      </c>
      <c r="Q122" s="22" t="inlineStr">
        <is>
          <t>ergasheva shabbona 123.docx</t>
        </is>
      </c>
    </row>
    <row r="123" ht="30" customHeight="1">
      <c r="A123" s="19" t="n">
        <v>46267</v>
      </c>
      <c r="B123" s="28" t="inlineStr">
        <is>
          <t>26-05</t>
        </is>
      </c>
      <c r="C123" s="10">
        <f>COUNTIF($B$13:B123,B123)</f>
        <v/>
      </c>
      <c r="D123" s="20" t="inlineStr">
        <is>
          <t>Eshboboyeva</t>
        </is>
      </c>
      <c r="E123" s="20" t="inlineStr">
        <is>
          <t>Fotima</t>
        </is>
      </c>
      <c r="F123" s="21" t="inlineStr">
        <is>
          <t>Nurali qizi</t>
        </is>
      </c>
      <c r="G123" s="21">
        <f>Таблица1[[#This Row],[Familiyasi]]&amp;" "&amp;Таблица1[[#This Row],[Ismi]]&amp;" "&amp;Таблица1[[#This Row],[Otasining ismi]]</f>
        <v/>
      </c>
      <c r="H123" s="9" t="inlineStr">
        <is>
          <t>13.06.2004</t>
        </is>
      </c>
      <c r="I123" s="21" t="inlineStr">
        <is>
          <t>ad0697178</t>
        </is>
      </c>
      <c r="J123" s="9" t="inlineStr">
        <is>
          <t>61306045630044</t>
        </is>
      </c>
      <c r="K123" s="21" t="inlineStr">
        <is>
          <t>05.10.2021</t>
        </is>
      </c>
      <c r="L123" s="21" t="inlineStr">
        <is>
          <t>um 1283543</t>
        </is>
      </c>
      <c r="M123" s="21" t="inlineStr">
        <is>
          <t>qamashi tumani 11-sonli umumiy o'rta ta'lim maktabi</t>
        </is>
      </c>
      <c r="N123" s="21" t="inlineStr">
        <is>
          <t>farmatsiya ishi</t>
        </is>
      </c>
      <c r="O123" s="21" t="inlineStr">
        <is>
          <t>2022</t>
        </is>
      </c>
      <c r="P123" s="9" t="inlineStr">
        <is>
          <t>45</t>
        </is>
      </c>
      <c r="Q123" s="22" t="inlineStr">
        <is>
          <t>eshboboyeva fotima 45.docx</t>
        </is>
      </c>
    </row>
    <row r="124" ht="30" customHeight="1">
      <c r="A124" s="19" t="n">
        <v>46267</v>
      </c>
      <c r="B124" s="28" t="inlineStr">
        <is>
          <t>26-05</t>
        </is>
      </c>
      <c r="C124" s="10">
        <f>COUNTIF($B$13:B124,B124)</f>
        <v/>
      </c>
      <c r="D124" s="20" t="inlineStr">
        <is>
          <t>G'ayratova</t>
        </is>
      </c>
      <c r="E124" s="20" t="inlineStr">
        <is>
          <t>Jasmina</t>
        </is>
      </c>
      <c r="F124" s="21" t="inlineStr">
        <is>
          <t>Sherali qizi</t>
        </is>
      </c>
      <c r="G124" s="21">
        <f>Таблица1[[#This Row],[Familiyasi]]&amp;" "&amp;Таблица1[[#This Row],[Ismi]]&amp;" "&amp;Таблица1[[#This Row],[Otasining ismi]]</f>
        <v/>
      </c>
      <c r="H124" s="9" t="inlineStr">
        <is>
          <t>02.08.2008</t>
        </is>
      </c>
      <c r="I124" s="21" t="inlineStr">
        <is>
          <t>ae3497923</t>
        </is>
      </c>
      <c r="J124" s="9" t="inlineStr">
        <is>
          <t>60208085590146</t>
        </is>
      </c>
      <c r="K124" s="21" t="inlineStr">
        <is>
          <t>23.07.2025</t>
        </is>
      </c>
      <c r="L124" s="21" t="inlineStr">
        <is>
          <t>um 03754785</t>
        </is>
      </c>
      <c r="M124" s="21" t="inlineStr">
        <is>
          <t>43-sonli umumiy o'rta ta'lim maktabi</t>
        </is>
      </c>
      <c r="N124" s="21" t="inlineStr">
        <is>
          <t>hamshiralik ishi - 3 yillik</t>
        </is>
      </c>
      <c r="O124" s="21" t="inlineStr">
        <is>
          <t>2026</t>
        </is>
      </c>
      <c r="P124" s="9" t="inlineStr">
        <is>
          <t>97</t>
        </is>
      </c>
      <c r="Q124" s="22" t="inlineStr">
        <is>
          <t>g'ayratova jasmina 97.docx</t>
        </is>
      </c>
    </row>
    <row r="125" ht="30" customHeight="1">
      <c r="A125" s="19" t="n">
        <v>46267</v>
      </c>
      <c r="B125" s="28" t="inlineStr">
        <is>
          <t>26-05</t>
        </is>
      </c>
      <c r="C125" s="10">
        <f>COUNTIF($B$13:B125,B125)</f>
        <v/>
      </c>
      <c r="D125" s="20" t="inlineStr">
        <is>
          <t>Ixtiyorova</t>
        </is>
      </c>
      <c r="E125" s="20" t="inlineStr">
        <is>
          <t>Niginabonu</t>
        </is>
      </c>
      <c r="F125" s="21" t="inlineStr">
        <is>
          <t>Xolovna</t>
        </is>
      </c>
      <c r="G125" s="21">
        <f>Таблица1[[#This Row],[Familiyasi]]&amp;" "&amp;Таблица1[[#This Row],[Ismi]]&amp;" "&amp;Таблица1[[#This Row],[Otasining ismi]]</f>
        <v/>
      </c>
      <c r="H125" s="9" t="inlineStr">
        <is>
          <t>07.10.2008</t>
        </is>
      </c>
      <c r="I125" s="21" t="inlineStr">
        <is>
          <t>ad9335686</t>
        </is>
      </c>
      <c r="J125" s="9" t="inlineStr">
        <is>
          <t>60710085680054</t>
        </is>
      </c>
      <c r="K125" s="21" t="inlineStr">
        <is>
          <t>09.11.2024</t>
        </is>
      </c>
      <c r="L125" s="21" t="inlineStr">
        <is>
          <t>um 03729467</t>
        </is>
      </c>
      <c r="M125" s="21" t="inlineStr">
        <is>
          <t>51-sonli umumiy o'rta ta'lim maktabi</t>
        </is>
      </c>
      <c r="N125" s="21" t="inlineStr">
        <is>
          <t>hamshiralik ishi - 3 yillik</t>
        </is>
      </c>
      <c r="O125" s="21" t="inlineStr">
        <is>
          <t>2026</t>
        </is>
      </c>
      <c r="P125" s="9" t="inlineStr">
        <is>
          <t>227</t>
        </is>
      </c>
      <c r="Q125" s="22" t="inlineStr">
        <is>
          <t>ixtiyorova niginabonu 227.docx</t>
        </is>
      </c>
    </row>
    <row r="126" ht="30" customHeight="1">
      <c r="A126" s="19" t="n">
        <v>46267</v>
      </c>
      <c r="B126" s="28" t="inlineStr">
        <is>
          <t>26-05</t>
        </is>
      </c>
      <c r="C126" s="10">
        <f>COUNTIF($B$13:B126,B126)</f>
        <v/>
      </c>
      <c r="D126" s="20" t="inlineStr">
        <is>
          <t>Jabborova</t>
        </is>
      </c>
      <c r="E126" s="20" t="inlineStr">
        <is>
          <t>Bahoroy</t>
        </is>
      </c>
      <c r="F126" s="21" t="inlineStr">
        <is>
          <t>Shukurullo qizi</t>
        </is>
      </c>
      <c r="G126" s="21">
        <f>Таблица1[[#This Row],[Familiyasi]]&amp;" "&amp;Таблица1[[#This Row],[Ismi]]&amp;" "&amp;Таблица1[[#This Row],[Otasining ismi]]</f>
        <v/>
      </c>
      <c r="H126" s="9" t="inlineStr">
        <is>
          <t>15.10.2008</t>
        </is>
      </c>
      <c r="I126" s="21" t="inlineStr">
        <is>
          <t>ae4255446</t>
        </is>
      </c>
      <c r="J126" s="9" t="inlineStr">
        <is>
          <t>61510085680048</t>
        </is>
      </c>
      <c r="K126" s="21" t="inlineStr">
        <is>
          <t>18.09.2025</t>
        </is>
      </c>
      <c r="L126" s="21" t="inlineStr">
        <is>
          <t>um 03728624</t>
        </is>
      </c>
      <c r="M126" s="21" t="inlineStr">
        <is>
          <t>21-sonli umumiy o'rta ta'lim maktabi</t>
        </is>
      </c>
      <c r="N126" s="21" t="inlineStr">
        <is>
          <t>hamshiralik ishi - 3 yillik</t>
        </is>
      </c>
      <c r="O126" s="21" t="inlineStr">
        <is>
          <t>2026</t>
        </is>
      </c>
      <c r="P126" s="9" t="inlineStr">
        <is>
          <t>202</t>
        </is>
      </c>
      <c r="Q126" s="22" t="inlineStr">
        <is>
          <t>jabborova baxoroy 202.docx</t>
        </is>
      </c>
    </row>
    <row r="127" ht="30" customHeight="1">
      <c r="A127" s="19" t="n">
        <v>46267</v>
      </c>
      <c r="B127" s="28" t="inlineStr">
        <is>
          <t>26-05</t>
        </is>
      </c>
      <c r="C127" s="10">
        <f>COUNTIF($B$13:B127,B127)</f>
        <v/>
      </c>
      <c r="D127" s="20" t="inlineStr">
        <is>
          <t>Jalilova</t>
        </is>
      </c>
      <c r="E127" s="20" t="inlineStr">
        <is>
          <t>Jasmina</t>
        </is>
      </c>
      <c r="F127" s="21" t="inlineStr">
        <is>
          <t>Jamshid qizi</t>
        </is>
      </c>
      <c r="G127" s="21">
        <f>Таблица1[[#This Row],[Familiyasi]]&amp;" "&amp;Таблица1[[#This Row],[Ismi]]&amp;" "&amp;Таблица1[[#This Row],[Otasining ismi]]</f>
        <v/>
      </c>
      <c r="H127" s="9" t="inlineStr">
        <is>
          <t>02.11.2008</t>
        </is>
      </c>
      <c r="I127" s="21" t="inlineStr">
        <is>
          <t>ae4319796</t>
        </is>
      </c>
      <c r="J127" s="9" t="inlineStr">
        <is>
          <t>60211085680014</t>
        </is>
      </c>
      <c r="K127" s="21" t="inlineStr">
        <is>
          <t>23.09.2025</t>
        </is>
      </c>
      <c r="L127" s="21" t="inlineStr">
        <is>
          <t>um 03728207</t>
        </is>
      </c>
      <c r="M127" s="21" t="inlineStr">
        <is>
          <t>6-sonli umumiy o'rta ta'lim maktabi</t>
        </is>
      </c>
      <c r="N127" s="21" t="inlineStr">
        <is>
          <t>hamshiralik ishi - 3 yillik</t>
        </is>
      </c>
      <c r="O127" s="21" t="inlineStr">
        <is>
          <t>2026</t>
        </is>
      </c>
      <c r="P127" s="9" t="inlineStr">
        <is>
          <t>95</t>
        </is>
      </c>
      <c r="Q127" s="22" t="inlineStr">
        <is>
          <t>jalilova jasmina 95.docx</t>
        </is>
      </c>
    </row>
    <row r="128" ht="30" customHeight="1">
      <c r="A128" s="19" t="n">
        <v>46267</v>
      </c>
      <c r="B128" s="28" t="inlineStr">
        <is>
          <t>26-05</t>
        </is>
      </c>
      <c r="C128" s="10">
        <f>COUNTIF($B$13:B128,B128)</f>
        <v/>
      </c>
      <c r="D128" s="20" t="inlineStr">
        <is>
          <t>Jumayeva</t>
        </is>
      </c>
      <c r="E128" s="20" t="inlineStr">
        <is>
          <t>Muhlisa</t>
        </is>
      </c>
      <c r="F128" s="21" t="inlineStr">
        <is>
          <t>Komiljon qizi</t>
        </is>
      </c>
      <c r="G128" s="21">
        <f>Таблица1[[#This Row],[Familiyasi]]&amp;" "&amp;Таблица1[[#This Row],[Ismi]]&amp;" "&amp;Таблица1[[#This Row],[Otasining ismi]]</f>
        <v/>
      </c>
      <c r="H128" s="9" t="inlineStr"/>
      <c r="I128" s="21" t="inlineStr"/>
      <c r="J128" s="9" t="inlineStr"/>
      <c r="K128" s="21" t="inlineStr"/>
      <c r="L128" s="21" t="inlineStr"/>
      <c r="M128" s="21" t="inlineStr"/>
      <c r="N128" s="21" t="inlineStr">
        <is>
          <t>hamshiralik ishi - 2 yillik</t>
        </is>
      </c>
      <c r="O128" s="21" t="inlineStr"/>
      <c r="P128" s="9" t="inlineStr">
        <is>
          <t>59</t>
        </is>
      </c>
      <c r="Q128" s="22" t="inlineStr">
        <is>
          <t>ergashova janona 59.docx</t>
        </is>
      </c>
    </row>
    <row r="129" ht="30" customHeight="1">
      <c r="A129" s="19" t="n">
        <v>46267</v>
      </c>
      <c r="B129" s="28" t="inlineStr">
        <is>
          <t>26-05</t>
        </is>
      </c>
      <c r="C129" s="10">
        <f>COUNTIF($B$13:B129,B129)</f>
        <v/>
      </c>
      <c r="D129" s="20" t="inlineStr">
        <is>
          <t>Jurayeva</t>
        </is>
      </c>
      <c r="E129" s="20" t="inlineStr">
        <is>
          <t>Madina</t>
        </is>
      </c>
      <c r="F129" s="21" t="inlineStr">
        <is>
          <t>Odil qizi</t>
        </is>
      </c>
      <c r="G129" s="21">
        <f>Таблица1[[#This Row],[Familiyasi]]&amp;" "&amp;Таблица1[[#This Row],[Ismi]]&amp;" "&amp;Таблица1[[#This Row],[Otasining ismi]]</f>
        <v/>
      </c>
      <c r="H129" s="9" t="inlineStr">
        <is>
          <t>25.12.2007</t>
        </is>
      </c>
      <c r="I129" s="21" t="inlineStr">
        <is>
          <t>ad9394305</t>
        </is>
      </c>
      <c r="J129" s="9" t="inlineStr">
        <is>
          <t>62512075590018</t>
        </is>
      </c>
      <c r="K129" s="21" t="inlineStr">
        <is>
          <t>13.11.2024</t>
        </is>
      </c>
      <c r="L129" s="21" t="inlineStr">
        <is>
          <t>um 03301327</t>
        </is>
      </c>
      <c r="M129" s="21" t="inlineStr">
        <is>
          <t>75-sonli umumiy o'rta ta'lim maktabi</t>
        </is>
      </c>
      <c r="N129" s="21" t="inlineStr">
        <is>
          <t>hamshiralik ishi - 3 yillik</t>
        </is>
      </c>
      <c r="O129" s="21" t="inlineStr">
        <is>
          <t>2025</t>
        </is>
      </c>
      <c r="P129" s="9" t="inlineStr">
        <is>
          <t>215</t>
        </is>
      </c>
      <c r="Q129" s="22" t="inlineStr">
        <is>
          <t>jurayeva madina  215.docx</t>
        </is>
      </c>
    </row>
    <row r="130" ht="30" customHeight="1">
      <c r="A130" s="19" t="n">
        <v>46267</v>
      </c>
      <c r="B130" s="28" t="inlineStr">
        <is>
          <t>26-05</t>
        </is>
      </c>
      <c r="C130" s="10">
        <f>COUNTIF($B$13:B130,B130)</f>
        <v/>
      </c>
      <c r="D130" s="20" t="inlineStr">
        <is>
          <t>Luxmonova</t>
        </is>
      </c>
      <c r="E130" s="20" t="inlineStr">
        <is>
          <t>Nozima</t>
        </is>
      </c>
      <c r="F130" s="21" t="inlineStr">
        <is>
          <t>Ilhom qizi</t>
        </is>
      </c>
      <c r="G130" s="21">
        <f>Таблица1[[#This Row],[Familiyasi]]&amp;" "&amp;Таблица1[[#This Row],[Ismi]]&amp;" "&amp;Таблица1[[#This Row],[Otasining ismi]]</f>
        <v/>
      </c>
      <c r="H130" s="9" t="inlineStr">
        <is>
          <t>16.11.2008</t>
        </is>
      </c>
      <c r="I130" s="21" t="inlineStr">
        <is>
          <t>ae4290181</t>
        </is>
      </c>
      <c r="J130" s="9" t="inlineStr">
        <is>
          <t>61611085680042</t>
        </is>
      </c>
      <c r="K130" s="21" t="inlineStr">
        <is>
          <t>22.09.2025</t>
        </is>
      </c>
      <c r="L130" s="21" t="inlineStr">
        <is>
          <t>um 03729343</t>
        </is>
      </c>
      <c r="M130" s="21" t="inlineStr">
        <is>
          <t>46-sonli umumiy o'rta ta'lim maktabini</t>
        </is>
      </c>
      <c r="N130" s="21" t="inlineStr">
        <is>
          <t>hamshiralik ishi - 3 yillik</t>
        </is>
      </c>
      <c r="O130" s="21" t="inlineStr">
        <is>
          <t>2026</t>
        </is>
      </c>
      <c r="P130" s="9" t="inlineStr">
        <is>
          <t>139</t>
        </is>
      </c>
      <c r="Q130" s="22" t="inlineStr">
        <is>
          <t>luxmonova nozima 139.docx</t>
        </is>
      </c>
    </row>
    <row r="131" ht="30" customHeight="1">
      <c r="A131" s="19" t="n">
        <v>46267</v>
      </c>
      <c r="B131" s="28" t="inlineStr">
        <is>
          <t>26-05</t>
        </is>
      </c>
      <c r="C131" s="10">
        <f>COUNTIF($B$13:B131,B131)</f>
        <v/>
      </c>
      <c r="D131" s="20" t="inlineStr">
        <is>
          <t>Murodova</t>
        </is>
      </c>
      <c r="E131" s="20" t="inlineStr">
        <is>
          <t>Munisa</t>
        </is>
      </c>
      <c r="F131" s="21" t="inlineStr">
        <is>
          <t>Muxtor qizi</t>
        </is>
      </c>
      <c r="G131" s="21">
        <f>Таблица1[[#This Row],[Familiyasi]]&amp;" "&amp;Таблица1[[#This Row],[Ismi]]&amp;" "&amp;Таблица1[[#This Row],[Otasining ismi]]</f>
        <v/>
      </c>
      <c r="H131" s="9" t="inlineStr">
        <is>
          <t>21.12.2008</t>
        </is>
      </c>
      <c r="I131" s="21" t="inlineStr">
        <is>
          <t>ae2895049</t>
        </is>
      </c>
      <c r="J131" s="9" t="inlineStr">
        <is>
          <t>62112085590028</t>
        </is>
      </c>
      <c r="K131" s="21" t="inlineStr">
        <is>
          <t>03.06.2025</t>
        </is>
      </c>
      <c r="L131" s="21" t="inlineStr">
        <is>
          <t>um 03753455</t>
        </is>
      </c>
      <c r="M131" s="21" t="inlineStr">
        <is>
          <t>8-sonli umumiy o'rta ta'lim maktabini</t>
        </is>
      </c>
      <c r="N131" s="21" t="inlineStr">
        <is>
          <t>hamshiralik ishi - 3 yillik</t>
        </is>
      </c>
      <c r="O131" s="21" t="inlineStr">
        <is>
          <t>2026</t>
        </is>
      </c>
      <c r="P131" s="9" t="inlineStr">
        <is>
          <t>169</t>
        </is>
      </c>
      <c r="Q131" s="22" t="inlineStr">
        <is>
          <t>murodova munisa 169.docx</t>
        </is>
      </c>
    </row>
    <row r="132" ht="30" customHeight="1">
      <c r="A132" s="19" t="n">
        <v>46267</v>
      </c>
      <c r="B132" s="28" t="inlineStr">
        <is>
          <t>26-05</t>
        </is>
      </c>
      <c r="C132" s="10">
        <f>COUNTIF($B$13:B132,B132)</f>
        <v/>
      </c>
      <c r="D132" s="20" t="inlineStr">
        <is>
          <t>Muzrapova</t>
        </is>
      </c>
      <c r="E132" s="20" t="inlineStr">
        <is>
          <t>Ruxshona</t>
        </is>
      </c>
      <c r="F132" s="21" t="inlineStr">
        <is>
          <t>Asrorxon qizi</t>
        </is>
      </c>
      <c r="G132" s="21">
        <f>Таблица1[[#This Row],[Familiyasi]]&amp;" "&amp;Таблица1[[#This Row],[Ismi]]&amp;" "&amp;Таблица1[[#This Row],[Otasining ismi]]</f>
        <v/>
      </c>
      <c r="H132" s="9" t="inlineStr">
        <is>
          <t>27.10.2007</t>
        </is>
      </c>
      <c r="I132" s="21" t="inlineStr">
        <is>
          <t>ad9123240</t>
        </is>
      </c>
      <c r="J132" s="9" t="inlineStr">
        <is>
          <t>62710075590066</t>
        </is>
      </c>
      <c r="K132" s="21" t="inlineStr">
        <is>
          <t>23.10.2024</t>
        </is>
      </c>
      <c r="L132" s="21" t="inlineStr">
        <is>
          <t>pt 0257899</t>
        </is>
      </c>
      <c r="M132" s="21" t="inlineStr">
        <is>
          <t>shahrisabz shahar 1-son politexnikumi</t>
        </is>
      </c>
      <c r="N132" s="21" t="inlineStr">
        <is>
          <t>hamshiralik ishi - 3 yillik</t>
        </is>
      </c>
      <c r="O132" s="21" t="inlineStr">
        <is>
          <t>2025</t>
        </is>
      </c>
      <c r="P132" s="9" t="inlineStr">
        <is>
          <t>69</t>
        </is>
      </c>
      <c r="Q132" s="22" t="inlineStr">
        <is>
          <t>muzrapova ruxshona 69.docx</t>
        </is>
      </c>
    </row>
    <row r="133" ht="30" customHeight="1">
      <c r="A133" s="19" t="n">
        <v>46273</v>
      </c>
      <c r="B133" s="28" t="inlineStr">
        <is>
          <t>26-05</t>
        </is>
      </c>
      <c r="C133" s="10">
        <f>COUNTIF($B$13:B133,B133)</f>
        <v/>
      </c>
      <c r="D133" s="20" t="inlineStr">
        <is>
          <t>Nematova</t>
        </is>
      </c>
      <c r="E133" s="20" t="inlineStr">
        <is>
          <t>Sevinch</t>
        </is>
      </c>
      <c r="F133" s="21" t="n"/>
      <c r="G133" s="21">
        <f>Таблица1[[#This Row],[Familiyasi]]&amp;" "&amp;Таблица1[[#This Row],[Ismi]]&amp;" "&amp;Таблица1[[#This Row],[Otasining ismi]]</f>
        <v/>
      </c>
      <c r="H133" s="9" t="n"/>
      <c r="I133" s="21" t="n"/>
      <c r="J133" s="9" t="n"/>
      <c r="K133" s="21" t="n"/>
      <c r="L133" s="21" t="n"/>
      <c r="M133" s="21" t="n"/>
      <c r="N133" s="21" t="n"/>
      <c r="O133" s="21" t="n"/>
      <c r="P133" s="9" t="n"/>
      <c r="Q133" s="22" t="n"/>
    </row>
    <row r="134" ht="30" customHeight="1">
      <c r="A134" s="19" t="n">
        <v>46267</v>
      </c>
      <c r="B134" s="28" t="inlineStr">
        <is>
          <t>26-05</t>
        </is>
      </c>
      <c r="C134" s="10">
        <f>COUNTIF($B$13:B134,B134)</f>
        <v/>
      </c>
      <c r="D134" s="20" t="inlineStr">
        <is>
          <t>Normurodova</t>
        </is>
      </c>
      <c r="E134" s="20" t="inlineStr">
        <is>
          <t>Gulsanam</t>
        </is>
      </c>
      <c r="F134" s="21" t="inlineStr">
        <is>
          <t>Elyor qizi</t>
        </is>
      </c>
      <c r="G134" s="21">
        <f>Таблица1[[#This Row],[Familiyasi]]&amp;" "&amp;Таблица1[[#This Row],[Ismi]]&amp;" "&amp;Таблица1[[#This Row],[Otasining ismi]]</f>
        <v/>
      </c>
      <c r="H134" s="9" t="inlineStr">
        <is>
          <t>18.09.2008</t>
        </is>
      </c>
      <c r="I134" s="21" t="inlineStr">
        <is>
          <t>ae4817469</t>
        </is>
      </c>
      <c r="J134" s="9" t="inlineStr">
        <is>
          <t>61809085680096</t>
        </is>
      </c>
      <c r="K134" s="21" t="inlineStr">
        <is>
          <t>29.10.2025</t>
        </is>
      </c>
      <c r="L134" s="21" t="inlineStr">
        <is>
          <t>um 03728575</t>
        </is>
      </c>
      <c r="M134" s="21" t="inlineStr">
        <is>
          <t>20-sonli umumiy o'rta ta'lim maktabini</t>
        </is>
      </c>
      <c r="N134" s="21" t="inlineStr">
        <is>
          <t>hamshiralik ishi - 3 yillik</t>
        </is>
      </c>
      <c r="O134" s="21" t="inlineStr">
        <is>
          <t>2026</t>
        </is>
      </c>
      <c r="P134" s="9" t="inlineStr">
        <is>
          <t>136</t>
        </is>
      </c>
      <c r="Q134" s="22" t="inlineStr">
        <is>
          <t>normurodova gulsanam 136.docx</t>
        </is>
      </c>
    </row>
    <row r="135" ht="30" customHeight="1">
      <c r="A135" s="19" t="n">
        <v>46267</v>
      </c>
      <c r="B135" s="28" t="inlineStr">
        <is>
          <t>26-05</t>
        </is>
      </c>
      <c r="C135" s="10">
        <f>COUNTIF($B$13:B135,B135)</f>
        <v/>
      </c>
      <c r="D135" s="20" t="inlineStr">
        <is>
          <t>Omonova</t>
        </is>
      </c>
      <c r="E135" s="20" t="inlineStr">
        <is>
          <t>Charos</t>
        </is>
      </c>
      <c r="F135" s="21" t="inlineStr">
        <is>
          <t>Orif qizi</t>
        </is>
      </c>
      <c r="G135" s="21">
        <f>Таблица1[[#This Row],[Familiyasi]]&amp;" "&amp;Таблица1[[#This Row],[Ismi]]&amp;" "&amp;Таблица1[[#This Row],[Otasining ismi]]</f>
        <v/>
      </c>
      <c r="H135" s="9" t="inlineStr">
        <is>
          <t>03.06.1998</t>
        </is>
      </c>
      <c r="I135" s="21" t="inlineStr">
        <is>
          <t>ae1338424</t>
        </is>
      </c>
      <c r="J135" s="9" t="inlineStr">
        <is>
          <t>40306985590014</t>
        </is>
      </c>
      <c r="K135" s="21" t="inlineStr">
        <is>
          <t>23.01.2025</t>
        </is>
      </c>
      <c r="L135" s="21" t="inlineStr">
        <is>
          <t>k 5023908</t>
        </is>
      </c>
      <c r="M135" s="21" t="inlineStr">
        <is>
          <t>shahrisabz agrosanoat kasb-hunar kolleji</t>
        </is>
      </c>
      <c r="N135" s="21" t="inlineStr">
        <is>
          <t>hamshiralik ishi - 3 yillik</t>
        </is>
      </c>
      <c r="O135" s="21" t="inlineStr">
        <is>
          <t>2018</t>
        </is>
      </c>
      <c r="P135" s="9" t="inlineStr">
        <is>
          <t>230</t>
        </is>
      </c>
      <c r="Q135" s="22" t="inlineStr">
        <is>
          <t>omonova charos 230.docx</t>
        </is>
      </c>
    </row>
    <row r="136" ht="30" customHeight="1">
      <c r="A136" s="19" t="n">
        <v>46273</v>
      </c>
      <c r="B136" s="28" t="inlineStr">
        <is>
          <t>26-05</t>
        </is>
      </c>
      <c r="C136" s="10">
        <f>COUNTIF($B$13:B136,B136)</f>
        <v/>
      </c>
      <c r="D136" s="20" t="inlineStr">
        <is>
          <t>Oripova</t>
        </is>
      </c>
      <c r="E136" s="20" t="inlineStr">
        <is>
          <t>Sevinch</t>
        </is>
      </c>
      <c r="F136" s="21" t="inlineStr">
        <is>
          <t>G'olib qizi</t>
        </is>
      </c>
      <c r="G136" s="21">
        <f>Таблица1[[#This Row],[Familiyasi]]&amp;" "&amp;Таблица1[[#This Row],[Ismi]]&amp;" "&amp;Таблица1[[#This Row],[Otasining ismi]]</f>
        <v/>
      </c>
      <c r="H136" s="9" t="n"/>
      <c r="I136" s="21" t="n"/>
      <c r="J136" s="9" t="n"/>
      <c r="K136" s="21" t="n"/>
      <c r="L136" s="21" t="n"/>
      <c r="M136" s="21" t="n"/>
      <c r="N136" s="21" t="n"/>
      <c r="O136" s="21" t="n"/>
      <c r="P136" s="9" t="n"/>
      <c r="Q136" s="22" t="n"/>
    </row>
    <row r="137" ht="30" customHeight="1">
      <c r="A137" s="19" t="n">
        <v>46273</v>
      </c>
      <c r="B137" s="28" t="inlineStr">
        <is>
          <t>26-05</t>
        </is>
      </c>
      <c r="C137" s="10">
        <f>COUNTIF($B$13:B137,B137)</f>
        <v/>
      </c>
      <c r="D137" s="20" t="inlineStr">
        <is>
          <t>Ozodova</t>
        </is>
      </c>
      <c r="E137" s="20" t="inlineStr">
        <is>
          <t>Klara</t>
        </is>
      </c>
      <c r="F137" s="21" t="inlineStr">
        <is>
          <t>Fayzullayevna</t>
        </is>
      </c>
      <c r="G137" s="21">
        <f>Таблица1[[#This Row],[Familiyasi]]&amp;" "&amp;Таблица1[[#This Row],[Ismi]]&amp;" "&amp;Таблица1[[#This Row],[Otasining ismi]]</f>
        <v/>
      </c>
      <c r="H137" s="9" t="n"/>
      <c r="I137" s="21" t="n"/>
      <c r="J137" s="9" t="n"/>
      <c r="K137" s="21" t="n"/>
      <c r="L137" s="21" t="n"/>
      <c r="M137" s="21" t="n"/>
      <c r="N137" s="21" t="n"/>
      <c r="O137" s="21" t="n"/>
      <c r="P137" s="9" t="n"/>
      <c r="Q137" s="22" t="n"/>
    </row>
    <row r="138" ht="30" customHeight="1">
      <c r="A138" s="19" t="n">
        <v>46267</v>
      </c>
      <c r="B138" s="28" t="inlineStr">
        <is>
          <t>26-05</t>
        </is>
      </c>
      <c r="C138" s="10">
        <f>COUNTIF($B$13:B138,B138)</f>
        <v/>
      </c>
      <c r="D138" s="20" t="inlineStr">
        <is>
          <t>Saidova</t>
        </is>
      </c>
      <c r="E138" s="20" t="inlineStr">
        <is>
          <t>Dilso'z</t>
        </is>
      </c>
      <c r="F138" s="21" t="inlineStr">
        <is>
          <t>Ilyos qizi</t>
        </is>
      </c>
      <c r="G138" s="21">
        <f>Таблица1[[#This Row],[Familiyasi]]&amp;" "&amp;Таблица1[[#This Row],[Ismi]]&amp;" "&amp;Таблица1[[#This Row],[Otasining ismi]]</f>
        <v/>
      </c>
      <c r="H138" s="9" t="inlineStr">
        <is>
          <t>05.11.2008</t>
        </is>
      </c>
      <c r="I138" s="21" t="inlineStr">
        <is>
          <t>ae6043288</t>
        </is>
      </c>
      <c r="J138" s="9" t="inlineStr">
        <is>
          <t>60511085680024</t>
        </is>
      </c>
      <c r="K138" s="21" t="inlineStr">
        <is>
          <t>26.01.2026</t>
        </is>
      </c>
      <c r="L138" s="21" t="inlineStr">
        <is>
          <t>um 03730668</t>
        </is>
      </c>
      <c r="M138" s="21" t="inlineStr">
        <is>
          <t>85-sonli umumiy o'rta ta'lim maktabi</t>
        </is>
      </c>
      <c r="N138" s="21" t="inlineStr">
        <is>
          <t>hamshiralik ishi - 3 yillik</t>
        </is>
      </c>
      <c r="O138" s="21" t="inlineStr">
        <is>
          <t>2026</t>
        </is>
      </c>
      <c r="P138" s="9" t="inlineStr">
        <is>
          <t>67</t>
        </is>
      </c>
      <c r="Q138" s="22" t="inlineStr">
        <is>
          <t>saidova dilso'z 67.docx</t>
        </is>
      </c>
    </row>
    <row r="139" ht="30" customHeight="1">
      <c r="A139" s="19" t="n">
        <v>46267</v>
      </c>
      <c r="B139" s="28" t="inlineStr">
        <is>
          <t>26-05</t>
        </is>
      </c>
      <c r="C139" s="10">
        <f>COUNTIF($B$13:B139,B139)</f>
        <v/>
      </c>
      <c r="D139" s="20" t="inlineStr">
        <is>
          <t>Sharipova</t>
        </is>
      </c>
      <c r="E139" s="20" t="inlineStr">
        <is>
          <t>Diyora</t>
        </is>
      </c>
      <c r="F139" s="21" t="inlineStr">
        <is>
          <t>Jasur qizi</t>
        </is>
      </c>
      <c r="G139" s="21">
        <f>Таблица1[[#This Row],[Familiyasi]]&amp;" "&amp;Таблица1[[#This Row],[Ismi]]&amp;" "&amp;Таблица1[[#This Row],[Otasining ismi]]</f>
        <v/>
      </c>
      <c r="H139" s="9" t="inlineStr">
        <is>
          <t>23.07.2009</t>
        </is>
      </c>
      <c r="I139" s="21" t="inlineStr">
        <is>
          <t>ae5776687</t>
        </is>
      </c>
      <c r="J139" s="9" t="inlineStr">
        <is>
          <t>62307095590022</t>
        </is>
      </c>
      <c r="K139" s="21" t="inlineStr">
        <is>
          <t>09.01.2026</t>
        </is>
      </c>
      <c r="L139" s="21" t="inlineStr">
        <is>
          <t>um 03751494</t>
        </is>
      </c>
      <c r="M139" s="21" t="inlineStr">
        <is>
          <t>1-sonli umumiy o'rta ta'lim maktabi</t>
        </is>
      </c>
      <c r="N139" s="21" t="inlineStr">
        <is>
          <t>hamshiralik ishi - 3 yillik</t>
        </is>
      </c>
      <c r="O139" s="21" t="inlineStr">
        <is>
          <t>2026</t>
        </is>
      </c>
      <c r="P139" s="9" t="inlineStr">
        <is>
          <t>57</t>
        </is>
      </c>
      <c r="Q139" s="22" t="inlineStr">
        <is>
          <t>sharipova diyora 57.docx</t>
        </is>
      </c>
    </row>
    <row r="140" ht="30" customHeight="1">
      <c r="A140" s="19" t="n">
        <v>46267</v>
      </c>
      <c r="B140" s="28" t="inlineStr">
        <is>
          <t>26-05</t>
        </is>
      </c>
      <c r="C140" s="10">
        <f>COUNTIF($B$13:B140,B140)</f>
        <v/>
      </c>
      <c r="D140" s="20" t="inlineStr">
        <is>
          <t>Toshmurodova</t>
        </is>
      </c>
      <c r="E140" s="20" t="inlineStr">
        <is>
          <t>Sarvara</t>
        </is>
      </c>
      <c r="F140" s="21" t="inlineStr">
        <is>
          <t>Ilxom qizi</t>
        </is>
      </c>
      <c r="G140" s="21">
        <f>Таблица1[[#This Row],[Familiyasi]]&amp;" "&amp;Таблица1[[#This Row],[Ismi]]&amp;" "&amp;Таблица1[[#This Row],[Otasining ismi]]</f>
        <v/>
      </c>
      <c r="H140" s="9" t="inlineStr">
        <is>
          <t>28.03.2005</t>
        </is>
      </c>
      <c r="I140" s="21" t="inlineStr">
        <is>
          <t>ad0914473</t>
        </is>
      </c>
      <c r="J140" s="9" t="inlineStr">
        <is>
          <t>62803055590089</t>
        </is>
      </c>
      <c r="K140" s="21" t="inlineStr">
        <is>
          <t>14.12.2021</t>
        </is>
      </c>
      <c r="L140" s="21" t="inlineStr">
        <is>
          <t>um 1319051</t>
        </is>
      </c>
      <c r="M140" s="21" t="inlineStr">
        <is>
          <t>shahrisabz shahar 14-sonli ayrim fanlar chuqur o'rganiladigan ixtisoslashtirilgan maktabi</t>
        </is>
      </c>
      <c r="N140" s="21" t="inlineStr">
        <is>
          <t>hamshiralik ishi - 3 yillik</t>
        </is>
      </c>
      <c r="O140" s="21" t="inlineStr">
        <is>
          <t>2022</t>
        </is>
      </c>
      <c r="P140" s="9" t="inlineStr">
        <is>
          <t>388</t>
        </is>
      </c>
      <c r="Q140" s="22" t="inlineStr">
        <is>
          <t>toshmurodova sarvara  388.docx</t>
        </is>
      </c>
    </row>
    <row r="141" ht="30" customHeight="1">
      <c r="A141" s="19" t="n">
        <v>46273</v>
      </c>
      <c r="B141" s="28" t="inlineStr">
        <is>
          <t>26-05</t>
        </is>
      </c>
      <c r="C141" s="10">
        <f>COUNTIF($B$13:B141,B141)</f>
        <v/>
      </c>
      <c r="D141" s="20" t="inlineStr">
        <is>
          <t>Tursunova</t>
        </is>
      </c>
      <c r="E141" s="20" t="inlineStr">
        <is>
          <t>Aziza</t>
        </is>
      </c>
      <c r="F141" s="21" t="inlineStr">
        <is>
          <t>Anvarovna</t>
        </is>
      </c>
      <c r="G141" s="21">
        <f>Таблица1[[#This Row],[Familiyasi]]&amp;" "&amp;Таблица1[[#This Row],[Ismi]]&amp;" "&amp;Таблица1[[#This Row],[Otasining ismi]]</f>
        <v/>
      </c>
      <c r="H141" s="9" t="n"/>
      <c r="I141" s="21" t="n"/>
      <c r="J141" s="9" t="n"/>
      <c r="K141" s="21" t="n"/>
      <c r="L141" s="21" t="n"/>
      <c r="M141" s="21" t="n"/>
      <c r="N141" s="21" t="n"/>
      <c r="O141" s="21" t="n"/>
      <c r="P141" s="9" t="n"/>
      <c r="Q141" s="22" t="n"/>
    </row>
    <row r="142" ht="30" customHeight="1">
      <c r="A142" s="19" t="n">
        <v>46267</v>
      </c>
      <c r="B142" s="28" t="inlineStr">
        <is>
          <t>26-05</t>
        </is>
      </c>
      <c r="C142" s="10">
        <f>COUNTIF($B$13:B142,B142)</f>
        <v/>
      </c>
      <c r="D142" s="20" t="inlineStr">
        <is>
          <t>Tursunova</t>
        </is>
      </c>
      <c r="E142" s="20" t="inlineStr">
        <is>
          <t>Fotima</t>
        </is>
      </c>
      <c r="F142" s="21" t="inlineStr">
        <is>
          <t>Qosim qizi</t>
        </is>
      </c>
      <c r="G142" s="21">
        <f>Таблица1[[#This Row],[Familiyasi]]&amp;" "&amp;Таблица1[[#This Row],[Ismi]]&amp;" "&amp;Таблица1[[#This Row],[Otasining ismi]]</f>
        <v/>
      </c>
      <c r="H142" s="9" t="inlineStr">
        <is>
          <t>27.10.2008</t>
        </is>
      </c>
      <c r="I142" s="21" t="inlineStr">
        <is>
          <t>ae5949204</t>
        </is>
      </c>
      <c r="J142" s="9" t="inlineStr">
        <is>
          <t>62710085590028</t>
        </is>
      </c>
      <c r="K142" s="21" t="inlineStr">
        <is>
          <t>20.01.2026</t>
        </is>
      </c>
      <c r="L142" s="21" t="inlineStr">
        <is>
          <t>um 03730083</t>
        </is>
      </c>
      <c r="M142" s="21" t="inlineStr">
        <is>
          <t>70-sonli umumiy o'rta ta'lim maktabi</t>
        </is>
      </c>
      <c r="N142" s="21" t="inlineStr">
        <is>
          <t>hamshiralik ishi - 3 yillik</t>
        </is>
      </c>
      <c r="O142" s="21" t="inlineStr">
        <is>
          <t>2026</t>
        </is>
      </c>
      <c r="P142" s="9" t="inlineStr">
        <is>
          <t>218</t>
        </is>
      </c>
      <c r="Q142" s="22" t="inlineStr">
        <is>
          <t>tursunova fotima 218.docx</t>
        </is>
      </c>
    </row>
    <row r="143" ht="30" customHeight="1">
      <c r="A143" s="19" t="n">
        <v>46267</v>
      </c>
      <c r="B143" s="28" t="inlineStr">
        <is>
          <t>26-05</t>
        </is>
      </c>
      <c r="C143" s="10">
        <f>COUNTIF($B$13:B143,B143)</f>
        <v/>
      </c>
      <c r="D143" s="20" t="inlineStr">
        <is>
          <t>Tursunova</t>
        </is>
      </c>
      <c r="E143" s="20" t="inlineStr">
        <is>
          <t>Zuhra</t>
        </is>
      </c>
      <c r="F143" s="21" t="inlineStr">
        <is>
          <t>Qosim qizi</t>
        </is>
      </c>
      <c r="G143" s="21">
        <f>Таблица1[[#This Row],[Familiyasi]]&amp;" "&amp;Таблица1[[#This Row],[Ismi]]&amp;" "&amp;Таблица1[[#This Row],[Otasining ismi]]</f>
        <v/>
      </c>
      <c r="H143" s="9" t="inlineStr">
        <is>
          <t>27.10.2008</t>
        </is>
      </c>
      <c r="I143" s="21" t="inlineStr">
        <is>
          <t>ae5949016</t>
        </is>
      </c>
      <c r="J143" s="9" t="inlineStr">
        <is>
          <t>62710085680029</t>
        </is>
      </c>
      <c r="K143" s="21" t="inlineStr">
        <is>
          <t>20.01.2026</t>
        </is>
      </c>
      <c r="L143" s="21" t="inlineStr">
        <is>
          <t>um 03730084</t>
        </is>
      </c>
      <c r="M143" s="21" t="inlineStr">
        <is>
          <t>70-sonli umumiy o'rta ta'lim maktabi</t>
        </is>
      </c>
      <c r="N143" s="21" t="inlineStr">
        <is>
          <t>hamshiralik ishi - 3 yillik</t>
        </is>
      </c>
      <c r="O143" s="21" t="inlineStr">
        <is>
          <t>2026</t>
        </is>
      </c>
      <c r="P143" s="9" t="inlineStr">
        <is>
          <t>219</t>
        </is>
      </c>
      <c r="Q143" s="22" t="inlineStr">
        <is>
          <t>tursunova zuhra 219.docx</t>
        </is>
      </c>
    </row>
    <row r="144" ht="30" customHeight="1">
      <c r="A144" s="19" t="n">
        <v>46267</v>
      </c>
      <c r="B144" s="28" t="inlineStr">
        <is>
          <t>26-05</t>
        </is>
      </c>
      <c r="C144" s="10">
        <f>COUNTIF($B$13:B144,B144)</f>
        <v/>
      </c>
      <c r="D144" s="20" t="inlineStr">
        <is>
          <t>Usmonova</t>
        </is>
      </c>
      <c r="E144" s="20" t="inlineStr">
        <is>
          <t>Sabrina</t>
        </is>
      </c>
      <c r="F144" s="21" t="inlineStr">
        <is>
          <t>Baxtiyor qizi</t>
        </is>
      </c>
      <c r="G144" s="21">
        <f>Таблица1[[#This Row],[Familiyasi]]&amp;" "&amp;Таблица1[[#This Row],[Ismi]]&amp;" "&amp;Таблица1[[#This Row],[Otasining ismi]]</f>
        <v/>
      </c>
      <c r="H144" s="9" t="inlineStr">
        <is>
          <t>18.10.2008</t>
        </is>
      </c>
      <c r="I144" s="21" t="inlineStr">
        <is>
          <t>ae4384190</t>
        </is>
      </c>
      <c r="J144" s="9" t="inlineStr">
        <is>
          <t>61810085590061</t>
        </is>
      </c>
      <c r="K144" s="21" t="inlineStr">
        <is>
          <t>29.09.2025</t>
        </is>
      </c>
      <c r="L144" s="21" t="inlineStr">
        <is>
          <t>um 03754097</t>
        </is>
      </c>
      <c r="M144" s="21" t="inlineStr">
        <is>
          <t>26-sonli umumiy o'rta ta'lim maktabi</t>
        </is>
      </c>
      <c r="N144" s="21" t="inlineStr">
        <is>
          <t>hamshiralik ishi - 3 yillik</t>
        </is>
      </c>
      <c r="O144" s="21" t="inlineStr">
        <is>
          <t>2026</t>
        </is>
      </c>
      <c r="P144" s="9" t="inlineStr">
        <is>
          <t>188</t>
        </is>
      </c>
      <c r="Q144" s="22" t="inlineStr">
        <is>
          <t>usmonova sabrina 188.docx</t>
        </is>
      </c>
    </row>
    <row r="145" ht="30" customHeight="1">
      <c r="A145" s="19" t="n">
        <v>46267</v>
      </c>
      <c r="B145" s="28" t="inlineStr">
        <is>
          <t>26-05</t>
        </is>
      </c>
      <c r="C145" s="10">
        <f>COUNTIF($B$13:B145,B145)</f>
        <v/>
      </c>
      <c r="D145" s="20" t="inlineStr">
        <is>
          <t>Xolmirzayeva</t>
        </is>
      </c>
      <c r="E145" s="20" t="inlineStr">
        <is>
          <t>Zebiniso</t>
        </is>
      </c>
      <c r="F145" s="21" t="inlineStr">
        <is>
          <t>Xushvaq qizi</t>
        </is>
      </c>
      <c r="G145" s="21">
        <f>Таблица1[[#This Row],[Familiyasi]]&amp;" "&amp;Таблица1[[#This Row],[Ismi]]&amp;" "&amp;Таблица1[[#This Row],[Otasining ismi]]</f>
        <v/>
      </c>
      <c r="H145" s="9" t="inlineStr">
        <is>
          <t>26.01.1995</t>
        </is>
      </c>
      <c r="I145" s="21" t="inlineStr">
        <is>
          <t>ad8362477</t>
        </is>
      </c>
      <c r="J145" s="9" t="inlineStr">
        <is>
          <t>42601955730024</t>
        </is>
      </c>
      <c r="K145" s="21" t="inlineStr">
        <is>
          <t>23.08.2024</t>
        </is>
      </c>
      <c r="L145" s="21" t="inlineStr">
        <is>
          <t>k 3418837</t>
        </is>
      </c>
      <c r="M145" s="21" t="inlineStr">
        <is>
          <t>jakkabog maishiy xizmat kasb-hunar kolleji</t>
        </is>
      </c>
      <c r="N145" s="21" t="inlineStr">
        <is>
          <t>hamshiralik ishi - 3 yillik</t>
        </is>
      </c>
      <c r="O145" s="21" t="inlineStr">
        <is>
          <t>2014</t>
        </is>
      </c>
      <c r="P145" s="9" t="inlineStr">
        <is>
          <t>183</t>
        </is>
      </c>
      <c r="Q145" s="22" t="inlineStr">
        <is>
          <t>xolmirzayeva zebiniso 183.docx</t>
        </is>
      </c>
    </row>
    <row r="146" ht="30" customHeight="1">
      <c r="A146" s="19" t="n">
        <v>46267</v>
      </c>
      <c r="B146" s="28" t="inlineStr">
        <is>
          <t>26-05</t>
        </is>
      </c>
      <c r="C146" s="10">
        <f>COUNTIF($B$13:B146,B146)</f>
        <v/>
      </c>
      <c r="D146" s="20" t="inlineStr">
        <is>
          <t>Yo'ldosheva</t>
        </is>
      </c>
      <c r="E146" s="20" t="inlineStr">
        <is>
          <t>Ruxshona</t>
        </is>
      </c>
      <c r="F146" s="21" t="inlineStr">
        <is>
          <t>Xabibullo qizi</t>
        </is>
      </c>
      <c r="G146" s="21">
        <f>Таблица1[[#This Row],[Familiyasi]]&amp;" "&amp;Таблица1[[#This Row],[Ismi]]&amp;" "&amp;Таблица1[[#This Row],[Otasining ismi]]</f>
        <v/>
      </c>
      <c r="H146" s="9" t="inlineStr">
        <is>
          <t>13.09.2008</t>
        </is>
      </c>
      <c r="I146" s="21" t="inlineStr">
        <is>
          <t>ae1419035</t>
        </is>
      </c>
      <c r="J146" s="9" t="inlineStr">
        <is>
          <t>61309085590066</t>
        </is>
      </c>
      <c r="K146" s="21" t="inlineStr">
        <is>
          <t>29.01.2025</t>
        </is>
      </c>
      <c r="L146" s="21" t="inlineStr">
        <is>
          <t>pt 0339260</t>
        </is>
      </c>
      <c r="M146" s="21" t="inlineStr">
        <is>
          <t>shahrisabz shahar 2-son texnikumi</t>
        </is>
      </c>
      <c r="N146" s="21" t="inlineStr">
        <is>
          <t>hamshiralik ishi - 3 yillik</t>
        </is>
      </c>
      <c r="O146" s="21" t="inlineStr">
        <is>
          <t>2026</t>
        </is>
      </c>
      <c r="P146" s="9" t="inlineStr">
        <is>
          <t>118</t>
        </is>
      </c>
      <c r="Q146" s="22" t="inlineStr">
        <is>
          <t>yo'ldosheva ruhshona 118.docx</t>
        </is>
      </c>
    </row>
    <row r="147" ht="30" customHeight="1">
      <c r="A147" s="19" t="n">
        <v>46273</v>
      </c>
      <c r="B147" s="28" t="inlineStr">
        <is>
          <t>26-06</t>
        </is>
      </c>
      <c r="C147" s="10">
        <f>COUNTIF($B$13:B147,B147)</f>
        <v/>
      </c>
      <c r="D147" s="20" t="inlineStr">
        <is>
          <t>Abduxoliqova</t>
        </is>
      </c>
      <c r="E147" s="20" t="inlineStr">
        <is>
          <t>Elmira</t>
        </is>
      </c>
      <c r="F147" s="21" t="inlineStr">
        <is>
          <t>Farxod qizi</t>
        </is>
      </c>
      <c r="G147" s="21">
        <f>Таблица1[[#This Row],[Familiyasi]]&amp;" "&amp;Таблица1[[#This Row],[Ismi]]&amp;" "&amp;Таблица1[[#This Row],[Otasining ismi]]</f>
        <v/>
      </c>
      <c r="H147" s="9" t="n"/>
      <c r="I147" s="21" t="n"/>
      <c r="J147" s="9" t="n"/>
      <c r="K147" s="21" t="n"/>
      <c r="L147" s="21" t="n"/>
      <c r="M147" s="21" t="n"/>
      <c r="N147" s="21" t="n"/>
      <c r="O147" s="21" t="n"/>
      <c r="P147" s="9" t="n"/>
      <c r="Q147" s="22" t="n"/>
    </row>
    <row r="148" ht="30" customHeight="1">
      <c r="A148" s="19" t="n">
        <v>46267</v>
      </c>
      <c r="B148" s="28" t="inlineStr">
        <is>
          <t>26-06</t>
        </is>
      </c>
      <c r="C148" s="10">
        <f>COUNTIF($B$13:B148,B148)</f>
        <v/>
      </c>
      <c r="D148" s="20" t="inlineStr">
        <is>
          <t>Bahodirova</t>
        </is>
      </c>
      <c r="E148" s="20" t="inlineStr">
        <is>
          <t>Asila</t>
        </is>
      </c>
      <c r="F148" s="21" t="inlineStr">
        <is>
          <t>Olmos qizi</t>
        </is>
      </c>
      <c r="G148" s="21">
        <f>Таблица1[[#This Row],[Familiyasi]]&amp;" "&amp;Таблица1[[#This Row],[Ismi]]&amp;" "&amp;Таблица1[[#This Row],[Otasining ismi]]</f>
        <v/>
      </c>
      <c r="H148" s="9" t="inlineStr">
        <is>
          <t>17.11.2008</t>
        </is>
      </c>
      <c r="I148" s="21" t="inlineStr">
        <is>
          <t>ae1222596</t>
        </is>
      </c>
      <c r="J148" s="9" t="inlineStr">
        <is>
          <t>61711085590032</t>
        </is>
      </c>
      <c r="K148" s="21" t="inlineStr">
        <is>
          <t>16.01.2025</t>
        </is>
      </c>
      <c r="L148" s="21" t="inlineStr">
        <is>
          <t>um 03753386</t>
        </is>
      </c>
      <c r="M148" s="21" t="inlineStr">
        <is>
          <t>7-sonli umumiy o'rta ta'lim maktabi</t>
        </is>
      </c>
      <c r="N148" s="21" t="inlineStr">
        <is>
          <t>hamshiralik ishi - 3 yillik</t>
        </is>
      </c>
      <c r="O148" s="21" t="inlineStr">
        <is>
          <t>2026</t>
        </is>
      </c>
      <c r="P148" s="9" t="inlineStr">
        <is>
          <t>44</t>
        </is>
      </c>
      <c r="Q148" s="22" t="inlineStr">
        <is>
          <t>bahodirova asila 44.docx</t>
        </is>
      </c>
    </row>
    <row r="149" ht="30" customHeight="1">
      <c r="A149" s="19" t="n">
        <v>46282</v>
      </c>
      <c r="B149" s="28" t="inlineStr">
        <is>
          <t>26-06</t>
        </is>
      </c>
      <c r="C149" s="10">
        <f>COUNTIF($B$13:B163,B149)</f>
        <v/>
      </c>
      <c r="D149" s="20" t="inlineStr">
        <is>
          <t>Davlatova</t>
        </is>
      </c>
      <c r="E149" s="20" t="inlineStr">
        <is>
          <t>Gulnoza</t>
        </is>
      </c>
      <c r="F149" s="21" t="inlineStr">
        <is>
          <t>Xusan qizi</t>
        </is>
      </c>
      <c r="G149" s="21">
        <f>Таблица1[[#This Row],[Familiyasi]]&amp;" "&amp;Таблица1[[#This Row],[Ismi]]&amp;" "&amp;Таблица1[[#This Row],[Otasining ismi]]</f>
        <v/>
      </c>
      <c r="H149" s="9" t="n"/>
      <c r="I149" s="21" t="n"/>
      <c r="J149" s="9" t="n"/>
      <c r="K149" s="21" t="n"/>
      <c r="L149" s="21" t="n"/>
      <c r="M149" s="21" t="n"/>
      <c r="N149" s="21" t="n"/>
      <c r="O149" s="21" t="n"/>
      <c r="P149" s="9" t="n"/>
      <c r="Q149" s="22" t="n"/>
    </row>
    <row r="150" ht="30" customHeight="1">
      <c r="A150" s="19" t="n">
        <v>46267</v>
      </c>
      <c r="B150" s="28" t="inlineStr">
        <is>
          <t>26-06</t>
        </is>
      </c>
      <c r="C150" s="10">
        <f>COUNTIF($B$13:B150,B150)</f>
        <v/>
      </c>
      <c r="D150" s="20" t="inlineStr">
        <is>
          <t>Eshimova</t>
        </is>
      </c>
      <c r="E150" s="20" t="inlineStr">
        <is>
          <t>Zilola</t>
        </is>
      </c>
      <c r="F150" s="21" t="inlineStr">
        <is>
          <t>Bekzod qizi</t>
        </is>
      </c>
      <c r="G150" s="21">
        <f>Таблица1[[#This Row],[Familiyasi]]&amp;" "&amp;Таблица1[[#This Row],[Ismi]]&amp;" "&amp;Таблица1[[#This Row],[Otasining ismi]]</f>
        <v/>
      </c>
      <c r="H150" s="9" t="inlineStr">
        <is>
          <t>15.06.2008</t>
        </is>
      </c>
      <c r="I150" s="21" t="inlineStr">
        <is>
          <t>ae2935693</t>
        </is>
      </c>
      <c r="J150" s="9" t="inlineStr">
        <is>
          <t>61506085730076</t>
        </is>
      </c>
      <c r="K150" s="21" t="inlineStr">
        <is>
          <t>26.08.2011</t>
        </is>
      </c>
      <c r="L150" s="21" t="inlineStr"/>
      <c r="M150" s="21" t="inlineStr"/>
      <c r="N150" s="21" t="inlineStr">
        <is>
          <t>hamshiralik ishi - 3 yillik</t>
        </is>
      </c>
      <c r="O150" s="21" t="inlineStr"/>
      <c r="P150" s="9" t="inlineStr">
        <is>
          <t>174</t>
        </is>
      </c>
      <c r="Q150" s="22" t="inlineStr">
        <is>
          <t>eshimova zilola  174.docx</t>
        </is>
      </c>
    </row>
    <row r="151" ht="30" customHeight="1">
      <c r="A151" s="19" t="n">
        <v>46267</v>
      </c>
      <c r="B151" s="28" t="inlineStr">
        <is>
          <t>26-06</t>
        </is>
      </c>
      <c r="C151" s="10">
        <f>COUNTIF($B$13:B151,B151)</f>
        <v/>
      </c>
      <c r="D151" s="20" t="inlineStr">
        <is>
          <t>Jalilova</t>
        </is>
      </c>
      <c r="E151" s="20" t="inlineStr">
        <is>
          <t>Shabnam</t>
        </is>
      </c>
      <c r="F151" s="21" t="inlineStr">
        <is>
          <t>Ozodjon qizi</t>
        </is>
      </c>
      <c r="G151" s="21">
        <f>Таблица1[[#This Row],[Familiyasi]]&amp;" "&amp;Таблица1[[#This Row],[Ismi]]&amp;" "&amp;Таблица1[[#This Row],[Otasining ismi]]</f>
        <v/>
      </c>
      <c r="H151" s="9" t="inlineStr">
        <is>
          <t>06.03.2008</t>
        </is>
      </c>
      <c r="I151" s="21" t="inlineStr">
        <is>
          <t>ad9937321</t>
        </is>
      </c>
      <c r="J151" s="9" t="inlineStr">
        <is>
          <t>60603085590037</t>
        </is>
      </c>
      <c r="K151" s="21" t="inlineStr">
        <is>
          <t>24.12.2024</t>
        </is>
      </c>
      <c r="L151" s="21" t="inlineStr">
        <is>
          <t>um 03752997</t>
        </is>
      </c>
      <c r="M151" s="21" t="inlineStr">
        <is>
          <t>23-sonli umumiy o'rta ta'lim maktabi</t>
        </is>
      </c>
      <c r="N151" s="21" t="inlineStr">
        <is>
          <t>hamshiralik ishi - 3 yillik</t>
        </is>
      </c>
      <c r="O151" s="21" t="inlineStr">
        <is>
          <t>2026</t>
        </is>
      </c>
      <c r="P151" s="9" t="inlineStr">
        <is>
          <t>17</t>
        </is>
      </c>
      <c r="Q151" s="22" t="inlineStr">
        <is>
          <t>jalilova shabnam 17.docx</t>
        </is>
      </c>
    </row>
    <row r="152" ht="30" customHeight="1">
      <c r="A152" s="19" t="n">
        <v>46267</v>
      </c>
      <c r="B152" s="28" t="inlineStr">
        <is>
          <t>26-06</t>
        </is>
      </c>
      <c r="C152" s="10">
        <f>COUNTIF($B$13:B152,B152)</f>
        <v/>
      </c>
      <c r="D152" s="20" t="inlineStr">
        <is>
          <t>Jumayeva</t>
        </is>
      </c>
      <c r="E152" s="20" t="inlineStr">
        <is>
          <t>Xusnida</t>
        </is>
      </c>
      <c r="F152" s="21" t="inlineStr">
        <is>
          <t>Shovkat qizi</t>
        </is>
      </c>
      <c r="G152" s="21">
        <f>Таблица1[[#This Row],[Familiyasi]]&amp;" "&amp;Таблица1[[#This Row],[Ismi]]&amp;" "&amp;Таблица1[[#This Row],[Otasining ismi]]</f>
        <v/>
      </c>
      <c r="H152" s="9" t="inlineStr">
        <is>
          <t>09.07.2008</t>
        </is>
      </c>
      <c r="I152" s="21" t="inlineStr">
        <is>
          <t>ae6299685</t>
        </is>
      </c>
      <c r="J152" s="9" t="inlineStr">
        <is>
          <t>60907085590063</t>
        </is>
      </c>
      <c r="K152" s="21" t="inlineStr">
        <is>
          <t>11.02.2026</t>
        </is>
      </c>
      <c r="L152" s="21" t="inlineStr">
        <is>
          <t>um 03752998</t>
        </is>
      </c>
      <c r="M152" s="21" t="inlineStr">
        <is>
          <t>23-sonli umumiy o'rta ta'lim maktabi</t>
        </is>
      </c>
      <c r="N152" s="21" t="inlineStr">
        <is>
          <t>hamshiralik ishi - 3 yillik</t>
        </is>
      </c>
      <c r="O152" s="21" t="inlineStr">
        <is>
          <t>2026</t>
        </is>
      </c>
      <c r="P152" s="9" t="inlineStr">
        <is>
          <t>18</t>
        </is>
      </c>
      <c r="Q152" s="22" t="inlineStr">
        <is>
          <t>jumayeva husnida 18.docx</t>
        </is>
      </c>
    </row>
    <row r="153" ht="30" customHeight="1">
      <c r="A153" s="19" t="n">
        <v>46277</v>
      </c>
      <c r="B153" s="28" t="inlineStr">
        <is>
          <t>26-06</t>
        </is>
      </c>
      <c r="C153" s="10">
        <f>COUNTIF($B$13:B153,B153)</f>
        <v/>
      </c>
      <c r="D153" s="20" t="inlineStr">
        <is>
          <t>Karimova</t>
        </is>
      </c>
      <c r="E153" s="20" t="inlineStr">
        <is>
          <t>Nozliya</t>
        </is>
      </c>
      <c r="F153" s="21" t="inlineStr">
        <is>
          <t>Rustamovna</t>
        </is>
      </c>
      <c r="G153" s="21">
        <f>Таблица1[[#This Row],[Familiyasi]]&amp;" "&amp;Таблица1[[#This Row],[Ismi]]&amp;" "&amp;Таблица1[[#This Row],[Otasining ismi]]</f>
        <v/>
      </c>
      <c r="H153" s="9" t="n"/>
      <c r="I153" s="21" t="n"/>
      <c r="J153" s="9" t="n"/>
      <c r="K153" s="21" t="n"/>
      <c r="L153" s="21" t="n"/>
      <c r="M153" s="21" t="n"/>
      <c r="N153" s="21" t="n"/>
      <c r="O153" s="21" t="n"/>
      <c r="P153" s="9" t="n"/>
      <c r="Q153" s="22" t="n"/>
    </row>
    <row r="154" ht="30" customHeight="1">
      <c r="A154" s="19" t="n">
        <v>46267</v>
      </c>
      <c r="B154" s="28" t="inlineStr">
        <is>
          <t>26-06</t>
        </is>
      </c>
      <c r="C154" s="10">
        <f>COUNTIF($B$13:B154,B154)</f>
        <v/>
      </c>
      <c r="D154" s="20" t="inlineStr">
        <is>
          <t>Mahmamurodova</t>
        </is>
      </c>
      <c r="E154" s="20" t="inlineStr">
        <is>
          <t>Sevara</t>
        </is>
      </c>
      <c r="F154" s="21" t="inlineStr">
        <is>
          <t>Safarali qizi</t>
        </is>
      </c>
      <c r="G154" s="21">
        <f>Таблица1[[#This Row],[Familiyasi]]&amp;" "&amp;Таблица1[[#This Row],[Ismi]]&amp;" "&amp;Таблица1[[#This Row],[Otasining ismi]]</f>
        <v/>
      </c>
      <c r="H154" s="9" t="inlineStr">
        <is>
          <t>07.05.2000</t>
        </is>
      </c>
      <c r="I154" s="21" t="inlineStr">
        <is>
          <t>ae2103843</t>
        </is>
      </c>
      <c r="J154" s="9" t="inlineStr">
        <is>
          <t>60705005680087</t>
        </is>
      </c>
      <c r="K154" s="21" t="inlineStr">
        <is>
          <t>27.03.2025</t>
        </is>
      </c>
      <c r="L154" s="21" t="inlineStr">
        <is>
          <t>k 5493345</t>
        </is>
      </c>
      <c r="M154" s="21" t="inlineStr">
        <is>
          <t>kitob agrobiznes kasb-hunar kolleji</t>
        </is>
      </c>
      <c r="N154" s="21" t="inlineStr">
        <is>
          <t>hamshiralik ishi - 3 yillik</t>
        </is>
      </c>
      <c r="O154" s="21" t="inlineStr">
        <is>
          <t>2019</t>
        </is>
      </c>
      <c r="P154" s="9" t="inlineStr">
        <is>
          <t>390</t>
        </is>
      </c>
      <c r="Q154" s="22" t="inlineStr">
        <is>
          <t>maxmudmurodova sevara 390.docx</t>
        </is>
      </c>
    </row>
    <row r="155" ht="30" customHeight="1">
      <c r="A155" s="19" t="n">
        <v>46267</v>
      </c>
      <c r="B155" s="28" t="inlineStr">
        <is>
          <t>26-06</t>
        </is>
      </c>
      <c r="C155" s="10">
        <f>COUNTIF($B$13:B155,B155)</f>
        <v/>
      </c>
      <c r="D155" s="20" t="inlineStr">
        <is>
          <t>Mahmudova</t>
        </is>
      </c>
      <c r="E155" s="20" t="inlineStr">
        <is>
          <t>Maftuna</t>
        </is>
      </c>
      <c r="F155" s="21" t="inlineStr">
        <is>
          <t>To'ra qizi</t>
        </is>
      </c>
      <c r="G155" s="21">
        <f>Таблица1[[#This Row],[Familiyasi]]&amp;" "&amp;Таблица1[[#This Row],[Ismi]]&amp;" "&amp;Таблица1[[#This Row],[Otasining ismi]]</f>
        <v/>
      </c>
      <c r="H155" s="9" t="inlineStr">
        <is>
          <t>17.07.2008</t>
        </is>
      </c>
      <c r="I155" s="21" t="inlineStr">
        <is>
          <t>ae4270256</t>
        </is>
      </c>
      <c r="J155" s="9" t="inlineStr">
        <is>
          <t>61707085680068</t>
        </is>
      </c>
      <c r="K155" s="21" t="inlineStr">
        <is>
          <t>19.09.2025</t>
        </is>
      </c>
      <c r="L155" s="21" t="inlineStr">
        <is>
          <t>um 03730531</t>
        </is>
      </c>
      <c r="M155" s="21" t="inlineStr">
        <is>
          <t>81-sonli umumiy o'rta ta'lim maktabi</t>
        </is>
      </c>
      <c r="N155" s="21" t="inlineStr">
        <is>
          <t>hamshiralik ishi - 3 yillik</t>
        </is>
      </c>
      <c r="O155" s="21" t="inlineStr">
        <is>
          <t>2026</t>
        </is>
      </c>
      <c r="P155" s="9" t="inlineStr">
        <is>
          <t>120</t>
        </is>
      </c>
      <c r="Q155" s="22" t="inlineStr">
        <is>
          <t>maxmudova maftuna 120.docx</t>
        </is>
      </c>
    </row>
    <row r="156" ht="30" customHeight="1">
      <c r="A156" s="19" t="n">
        <v>46267</v>
      </c>
      <c r="B156" s="28" t="inlineStr">
        <is>
          <t>26-06</t>
        </is>
      </c>
      <c r="C156" s="10">
        <f>COUNTIF($B$13:B156,B156)</f>
        <v/>
      </c>
      <c r="D156" s="20" t="inlineStr">
        <is>
          <t>Mannonova</t>
        </is>
      </c>
      <c r="E156" s="20" t="inlineStr">
        <is>
          <t>Shahrizoda</t>
        </is>
      </c>
      <c r="F156" s="21" t="inlineStr">
        <is>
          <t>Nosir qizi</t>
        </is>
      </c>
      <c r="G156" s="21">
        <f>Таблица1[[#This Row],[Familiyasi]]&amp;" "&amp;Таблица1[[#This Row],[Ismi]]&amp;" "&amp;Таблица1[[#This Row],[Otasining ismi]]</f>
        <v/>
      </c>
      <c r="H156" s="9" t="inlineStr">
        <is>
          <t>07.10.2008</t>
        </is>
      </c>
      <c r="I156" s="21" t="inlineStr">
        <is>
          <t>ae4263249</t>
        </is>
      </c>
      <c r="J156" s="9" t="inlineStr">
        <is>
          <t>60710085680047</t>
        </is>
      </c>
      <c r="K156" s="21" t="inlineStr">
        <is>
          <t>19.09.2025</t>
        </is>
      </c>
      <c r="L156" s="21" t="inlineStr">
        <is>
          <t>um 03728995</t>
        </is>
      </c>
      <c r="M156" s="21" t="inlineStr">
        <is>
          <t>32-sonli umumiy o'rta ta'lim maktabi</t>
        </is>
      </c>
      <c r="N156" s="21" t="inlineStr">
        <is>
          <t>hamshiralik ishi - 3 yillik</t>
        </is>
      </c>
      <c r="O156" s="21" t="inlineStr">
        <is>
          <t>2026</t>
        </is>
      </c>
      <c r="P156" s="9" t="inlineStr">
        <is>
          <t>199</t>
        </is>
      </c>
      <c r="Q156" s="22" t="inlineStr">
        <is>
          <t>mannonova shahrizoda 199.docx</t>
        </is>
      </c>
    </row>
    <row r="157" ht="30" customHeight="1">
      <c r="A157" s="19" t="n">
        <v>46269</v>
      </c>
      <c r="B157" s="28" t="inlineStr">
        <is>
          <t>26-06</t>
        </is>
      </c>
      <c r="C157" s="10">
        <f>COUNTIF($B$13:B157,B157)</f>
        <v/>
      </c>
      <c r="D157" s="20" t="inlineStr">
        <is>
          <t>Maxmarajabova</t>
        </is>
      </c>
      <c r="E157" s="20" t="inlineStr">
        <is>
          <t>Zerda</t>
        </is>
      </c>
      <c r="F157" s="21" t="inlineStr">
        <is>
          <t>Hasan qizi</t>
        </is>
      </c>
      <c r="G157" s="21">
        <f>Таблица1[[#This Row],[Familiyasi]]&amp;" "&amp;Таблица1[[#This Row],[Ismi]]&amp;" "&amp;Таблица1[[#This Row],[Otasining ismi]]</f>
        <v/>
      </c>
      <c r="H157" s="9" t="n"/>
      <c r="I157" s="21" t="n"/>
      <c r="J157" s="9" t="n"/>
      <c r="K157" s="21" t="n"/>
      <c r="L157" s="21" t="n"/>
      <c r="M157" s="21" t="n"/>
      <c r="N157" s="21" t="n"/>
      <c r="O157" s="21" t="n"/>
      <c r="P157" s="9" t="n"/>
      <c r="Q157" s="22" t="n"/>
    </row>
    <row r="158" ht="30" customHeight="1">
      <c r="A158" s="19" t="n">
        <v>46282</v>
      </c>
      <c r="B158" s="28" t="inlineStr">
        <is>
          <t>26-06</t>
        </is>
      </c>
      <c r="C158" s="10">
        <f>COUNTIF($B$13:B171,B158)</f>
        <v/>
      </c>
      <c r="D158" s="20" t="inlineStr">
        <is>
          <t>Muminova</t>
        </is>
      </c>
      <c r="E158" s="20" t="inlineStr">
        <is>
          <t>Durdona</t>
        </is>
      </c>
      <c r="F158" s="21" t="inlineStr">
        <is>
          <t>Anvar qizi</t>
        </is>
      </c>
      <c r="G158" s="21">
        <f>Таблица1[[#This Row],[Familiyasi]]&amp;" "&amp;Таблица1[[#This Row],[Ismi]]&amp;" "&amp;Таблица1[[#This Row],[Otasining ismi]]</f>
        <v/>
      </c>
      <c r="H158" s="9" t="n"/>
      <c r="I158" s="21" t="n"/>
      <c r="J158" s="9" t="n"/>
      <c r="K158" s="21" t="n"/>
      <c r="L158" s="21" t="n"/>
      <c r="M158" s="21" t="n"/>
      <c r="N158" s="21" t="n"/>
      <c r="O158" s="21" t="n"/>
      <c r="P158" s="9" t="n"/>
      <c r="Q158" s="22" t="n"/>
    </row>
    <row r="159" ht="30" customHeight="1">
      <c r="A159" s="19" t="n">
        <v>46267</v>
      </c>
      <c r="B159" s="28" t="inlineStr">
        <is>
          <t>26-06</t>
        </is>
      </c>
      <c r="C159" s="10">
        <f>COUNTIF($B$13:B159,B159)</f>
        <v/>
      </c>
      <c r="D159" s="20" t="inlineStr">
        <is>
          <t>Muminova</t>
        </is>
      </c>
      <c r="E159" s="20" t="inlineStr">
        <is>
          <t>Sevinch</t>
        </is>
      </c>
      <c r="F159" s="21" t="inlineStr">
        <is>
          <t>Uchqun qizi</t>
        </is>
      </c>
      <c r="G159" s="21">
        <f>Таблица1[[#This Row],[Familiyasi]]&amp;" "&amp;Таблица1[[#This Row],[Ismi]]&amp;" "&amp;Таблица1[[#This Row],[Otasining ismi]]</f>
        <v/>
      </c>
      <c r="H159" s="9" t="inlineStr">
        <is>
          <t>30.01.2008</t>
        </is>
      </c>
      <c r="I159" s="21" t="inlineStr">
        <is>
          <t>ae2259069</t>
        </is>
      </c>
      <c r="J159" s="9" t="inlineStr">
        <is>
          <t>63001085590111</t>
        </is>
      </c>
      <c r="K159" s="21" t="inlineStr">
        <is>
          <t>09.04.2025</t>
        </is>
      </c>
      <c r="L159" s="21" t="inlineStr">
        <is>
          <t>um 03752895</t>
        </is>
      </c>
      <c r="M159" s="21" t="inlineStr">
        <is>
          <t>20-sonli umumiy o'rta ta'lim maktabi</t>
        </is>
      </c>
      <c r="N159" s="21" t="inlineStr">
        <is>
          <t>hamshiralik ishi - 3 yillik</t>
        </is>
      </c>
      <c r="O159" s="21" t="inlineStr">
        <is>
          <t>2026</t>
        </is>
      </c>
      <c r="P159" s="9" t="inlineStr">
        <is>
          <t>163</t>
        </is>
      </c>
      <c r="Q159" s="22" t="inlineStr">
        <is>
          <t>muminova sevinch 163.docx</t>
        </is>
      </c>
    </row>
    <row r="160" ht="30" customHeight="1">
      <c r="A160" s="19" t="n">
        <v>46267</v>
      </c>
      <c r="B160" s="28" t="inlineStr">
        <is>
          <t>26-06</t>
        </is>
      </c>
      <c r="C160" s="10">
        <f>COUNTIF($B$13:B160,B160)</f>
        <v/>
      </c>
      <c r="D160" s="20" t="inlineStr">
        <is>
          <t>Muxtorova</t>
        </is>
      </c>
      <c r="E160" s="20" t="inlineStr">
        <is>
          <t>Xadicha</t>
        </is>
      </c>
      <c r="F160" s="21" t="inlineStr">
        <is>
          <t>Zaxriddin qizi</t>
        </is>
      </c>
      <c r="G160" s="21">
        <f>Таблица1[[#This Row],[Familiyasi]]&amp;" "&amp;Таблица1[[#This Row],[Ismi]]&amp;" "&amp;Таблица1[[#This Row],[Otasining ismi]]</f>
        <v/>
      </c>
      <c r="H160" s="9" t="inlineStr">
        <is>
          <t>05.06.2008</t>
        </is>
      </c>
      <c r="I160" s="21" t="inlineStr">
        <is>
          <t>ae2428256</t>
        </is>
      </c>
      <c r="J160" s="9" t="inlineStr">
        <is>
          <t>60506085590066</t>
        </is>
      </c>
      <c r="K160" s="21" t="inlineStr">
        <is>
          <t>22.04.2025</t>
        </is>
      </c>
      <c r="L160" s="21" t="inlineStr">
        <is>
          <t>um 03751925</t>
        </is>
      </c>
      <c r="M160" s="21" t="inlineStr">
        <is>
          <t>7-sonli umumiy o'rta ta'lim maktabi</t>
        </is>
      </c>
      <c r="N160" s="21" t="inlineStr">
        <is>
          <t>hamshiralik ishi - 3 yillik</t>
        </is>
      </c>
      <c r="O160" s="21" t="inlineStr">
        <is>
          <t>2026</t>
        </is>
      </c>
      <c r="P160" s="9" t="inlineStr">
        <is>
          <t>176</t>
        </is>
      </c>
      <c r="Q160" s="22" t="inlineStr">
        <is>
          <t>muxtorova xadicha 176.docx</t>
        </is>
      </c>
    </row>
    <row r="161" ht="30" customHeight="1">
      <c r="A161" s="19" t="n">
        <v>46280</v>
      </c>
      <c r="B161" s="28" t="inlineStr">
        <is>
          <t>26-06</t>
        </is>
      </c>
      <c r="C161" s="10">
        <f>COUNTIF($B$13:B161,B161)</f>
        <v/>
      </c>
      <c r="D161" s="20" t="inlineStr">
        <is>
          <t>Niyozova</t>
        </is>
      </c>
      <c r="E161" s="20" t="inlineStr">
        <is>
          <t>Sevara</t>
        </is>
      </c>
      <c r="F161" s="21" t="n"/>
      <c r="G161" s="21">
        <f>Таблица1[[#This Row],[Familiyasi]]&amp;" "&amp;Таблица1[[#This Row],[Ismi]]&amp;" "&amp;Таблица1[[#This Row],[Otasining ismi]]</f>
        <v/>
      </c>
      <c r="H161" s="9" t="n"/>
      <c r="I161" s="21" t="n"/>
      <c r="J161" s="9" t="n"/>
      <c r="K161" s="21" t="n"/>
      <c r="L161" s="21" t="n"/>
      <c r="M161" s="21" t="n"/>
      <c r="N161" s="21" t="n"/>
      <c r="O161" s="21" t="n"/>
      <c r="P161" s="9" t="n"/>
      <c r="Q161" s="22" t="n"/>
    </row>
    <row r="162" ht="30" customHeight="1">
      <c r="A162" s="19" t="n">
        <v>46267</v>
      </c>
      <c r="B162" s="28" t="inlineStr">
        <is>
          <t>26-06</t>
        </is>
      </c>
      <c r="C162" s="10">
        <f>COUNTIF($B$13:B162,B162)</f>
        <v/>
      </c>
      <c r="D162" s="20" t="inlineStr">
        <is>
          <t>Nuraliyeva</t>
        </is>
      </c>
      <c r="E162" s="20" t="inlineStr">
        <is>
          <t>Sevinch</t>
        </is>
      </c>
      <c r="F162" s="21" t="inlineStr">
        <is>
          <t>Mirsharaf qizi</t>
        </is>
      </c>
      <c r="G162" s="21">
        <f>Таблица1[[#This Row],[Familiyasi]]&amp;" "&amp;Таблица1[[#This Row],[Ismi]]&amp;" "&amp;Таблица1[[#This Row],[Otasining ismi]]</f>
        <v/>
      </c>
      <c r="H162" s="9" t="inlineStr">
        <is>
          <t>30.06.2008</t>
        </is>
      </c>
      <c r="I162" s="21" t="inlineStr">
        <is>
          <t>ae4360739</t>
        </is>
      </c>
      <c r="J162" s="9" t="inlineStr">
        <is>
          <t>63006085730022</t>
        </is>
      </c>
      <c r="K162" s="21" t="inlineStr">
        <is>
          <t>26.09.2025</t>
        </is>
      </c>
      <c r="L162" s="21" t="inlineStr">
        <is>
          <t>um 03756167</t>
        </is>
      </c>
      <c r="M162" s="21" t="inlineStr">
        <is>
          <t>7-sonli umumiy o'rta ta'lim maktabi</t>
        </is>
      </c>
      <c r="N162" s="21" t="inlineStr">
        <is>
          <t>hamshiralik ishi - 3 yillik</t>
        </is>
      </c>
      <c r="O162" s="21" t="inlineStr">
        <is>
          <t>2026</t>
        </is>
      </c>
      <c r="P162" s="9" t="inlineStr">
        <is>
          <t>62</t>
        </is>
      </c>
      <c r="Q162" s="22" t="inlineStr">
        <is>
          <t>nuraliyeva sevinch 62.docx</t>
        </is>
      </c>
    </row>
    <row r="163" ht="30" customHeight="1">
      <c r="A163" s="19" t="n">
        <v>46267</v>
      </c>
      <c r="B163" s="28" t="inlineStr">
        <is>
          <t>26-06</t>
        </is>
      </c>
      <c r="C163" s="10">
        <f>COUNTIF($B$13:B163,B163)</f>
        <v/>
      </c>
      <c r="D163" s="20" t="inlineStr">
        <is>
          <t>Ortiqova</t>
        </is>
      </c>
      <c r="E163" s="20" t="inlineStr">
        <is>
          <t>Dilnoza</t>
        </is>
      </c>
      <c r="F163" s="21" t="inlineStr">
        <is>
          <t>Zokir qizi</t>
        </is>
      </c>
      <c r="G163" s="21">
        <f>Таблица1[[#This Row],[Familiyasi]]&amp;" "&amp;Таблица1[[#This Row],[Ismi]]&amp;" "&amp;Таблица1[[#This Row],[Otasining ismi]]</f>
        <v/>
      </c>
      <c r="H163" s="9" t="inlineStr">
        <is>
          <t>20.12.2004</t>
        </is>
      </c>
      <c r="I163" s="21" t="inlineStr">
        <is>
          <t>ad0776916</t>
        </is>
      </c>
      <c r="J163" s="9" t="inlineStr">
        <is>
          <t>62012045590040</t>
        </is>
      </c>
      <c r="K163" s="21" t="inlineStr">
        <is>
          <t>02.11.2021</t>
        </is>
      </c>
      <c r="L163" s="21" t="inlineStr">
        <is>
          <t>um 1313018</t>
        </is>
      </c>
      <c r="M163" s="21" t="inlineStr">
        <is>
          <t>shahrisabz tumani 8-sonli umumiy o'rta ta'lim maktabi</t>
        </is>
      </c>
      <c r="N163" s="21" t="inlineStr">
        <is>
          <t>hamshiralik ishi - 3 yillik</t>
        </is>
      </c>
      <c r="O163" s="21" t="inlineStr">
        <is>
          <t>2022</t>
        </is>
      </c>
      <c r="P163" s="9" t="inlineStr">
        <is>
          <t>47</t>
        </is>
      </c>
      <c r="Q163" s="22" t="inlineStr">
        <is>
          <t>ortiqova dilnoza 47.docx</t>
        </is>
      </c>
    </row>
    <row r="164" ht="30" customHeight="1">
      <c r="A164" s="19" t="n">
        <v>46267</v>
      </c>
      <c r="B164" s="28" t="inlineStr">
        <is>
          <t>26-06</t>
        </is>
      </c>
      <c r="C164" s="10">
        <f>COUNTIF($B$13:B164,B164)</f>
        <v/>
      </c>
      <c r="D164" s="20" t="inlineStr">
        <is>
          <t>Qarshiyeva</t>
        </is>
      </c>
      <c r="E164" s="20" t="inlineStr">
        <is>
          <t>Shahlo</t>
        </is>
      </c>
      <c r="F164" s="21" t="inlineStr">
        <is>
          <t>Talantjon qizi</t>
        </is>
      </c>
      <c r="G164" s="21">
        <f>Таблица1[[#This Row],[Familiyasi]]&amp;" "&amp;Таблица1[[#This Row],[Ismi]]&amp;" "&amp;Таблица1[[#This Row],[Otasining ismi]]</f>
        <v/>
      </c>
      <c r="H164" s="9" t="inlineStr">
        <is>
          <t>22.01.2008</t>
        </is>
      </c>
      <c r="I164" s="21" t="inlineStr">
        <is>
          <t>ae2118072</t>
        </is>
      </c>
      <c r="J164" s="9" t="inlineStr">
        <is>
          <t>62201085590064</t>
        </is>
      </c>
      <c r="K164" s="21" t="inlineStr">
        <is>
          <t>28.03.2025</t>
        </is>
      </c>
      <c r="L164" s="21" t="inlineStr">
        <is>
          <t>um 03753960</t>
        </is>
      </c>
      <c r="M164" s="21" t="inlineStr">
        <is>
          <t>23-sonli umumiy o'rta ta'lim maktabi</t>
        </is>
      </c>
      <c r="N164" s="21" t="inlineStr">
        <is>
          <t>hamshiralik ishi - 3 yillik</t>
        </is>
      </c>
      <c r="O164" s="21" t="inlineStr">
        <is>
          <t>2026</t>
        </is>
      </c>
      <c r="P164" s="9" t="inlineStr">
        <is>
          <t>56</t>
        </is>
      </c>
      <c r="Q164" s="22" t="inlineStr">
        <is>
          <t>qarshiyeva shahlo 56.docx</t>
        </is>
      </c>
    </row>
    <row r="165" ht="30" customHeight="1">
      <c r="A165" s="19" t="n">
        <v>46267</v>
      </c>
      <c r="B165" s="28" t="inlineStr">
        <is>
          <t>26-06</t>
        </is>
      </c>
      <c r="C165" s="10">
        <f>COUNTIF($B$13:B165,B165)</f>
        <v/>
      </c>
      <c r="D165" s="20" t="inlineStr">
        <is>
          <t>Quchqarova</t>
        </is>
      </c>
      <c r="E165" s="20" t="inlineStr">
        <is>
          <t>Zebiniso</t>
        </is>
      </c>
      <c r="F165" s="21" t="inlineStr">
        <is>
          <t>Farhod qizi</t>
        </is>
      </c>
      <c r="G165" s="21" t="inlineStr">
        <is>
          <t>Quchqarova Zebiniso Farhod qizi</t>
        </is>
      </c>
      <c r="H165" s="9" t="inlineStr">
        <is>
          <t>29.11.2008</t>
        </is>
      </c>
      <c r="I165" s="21" t="inlineStr">
        <is>
          <t>ae1143288</t>
        </is>
      </c>
      <c r="J165" s="9" t="inlineStr">
        <is>
          <t>62911085630012</t>
        </is>
      </c>
      <c r="K165" s="21" t="inlineStr">
        <is>
          <t>10.01.2025</t>
        </is>
      </c>
      <c r="L165" s="21" t="inlineStr"/>
      <c r="M165" s="21" t="inlineStr"/>
      <c r="N165" s="21" t="inlineStr">
        <is>
          <t>hamshiralik ishi - 3 yillik</t>
        </is>
      </c>
      <c r="O165" s="21" t="inlineStr"/>
      <c r="P165" s="9" t="inlineStr">
        <is>
          <t>187</t>
        </is>
      </c>
      <c r="Q165" s="22" t="inlineStr">
        <is>
          <t>kuchqarova zebiniso 187.docx</t>
        </is>
      </c>
    </row>
    <row r="166" ht="30" customHeight="1">
      <c r="A166" s="19" t="n">
        <v>46273</v>
      </c>
      <c r="B166" s="28" t="inlineStr">
        <is>
          <t>26-06</t>
        </is>
      </c>
      <c r="C166" s="10">
        <f>COUNTIF($B$13:B166,B166)</f>
        <v/>
      </c>
      <c r="D166" s="20" t="inlineStr">
        <is>
          <t>Samiyeva</t>
        </is>
      </c>
      <c r="E166" s="20" t="inlineStr">
        <is>
          <t>Sevinchbonu</t>
        </is>
      </c>
      <c r="F166" s="21" t="inlineStr">
        <is>
          <t>Uyg'un qizi</t>
        </is>
      </c>
      <c r="G166" s="21">
        <f>Таблица1[[#This Row],[Familiyasi]]&amp;" "&amp;Таблица1[[#This Row],[Ismi]]&amp;" "&amp;Таблица1[[#This Row],[Otasining ismi]]</f>
        <v/>
      </c>
      <c r="H166" s="9" t="n"/>
      <c r="I166" s="21" t="n"/>
      <c r="J166" s="9" t="n"/>
      <c r="K166" s="21" t="n"/>
      <c r="L166" s="21" t="n"/>
      <c r="M166" s="21" t="n"/>
      <c r="N166" s="21" t="n"/>
      <c r="O166" s="21" t="n"/>
      <c r="P166" s="9" t="n"/>
      <c r="Q166" s="22" t="n"/>
    </row>
    <row r="167" ht="30" customHeight="1">
      <c r="A167" s="19" t="n">
        <v>46277</v>
      </c>
      <c r="B167" s="28" t="inlineStr">
        <is>
          <t>26-06</t>
        </is>
      </c>
      <c r="C167" s="10">
        <f>COUNTIF($B$13:B167,B167)</f>
        <v/>
      </c>
      <c r="D167" s="20" t="inlineStr">
        <is>
          <t>Sanaqulova</t>
        </is>
      </c>
      <c r="E167" s="20" t="inlineStr">
        <is>
          <t>Muxtarama</t>
        </is>
      </c>
      <c r="F167" s="21" t="inlineStr">
        <is>
          <t>Xudoyqulovna</t>
        </is>
      </c>
      <c r="G167" s="21">
        <f>Таблица1[[#This Row],[Familiyasi]]&amp;" "&amp;Таблица1[[#This Row],[Ismi]]&amp;" "&amp;Таблица1[[#This Row],[Otasining ismi]]</f>
        <v/>
      </c>
      <c r="H167" s="9" t="n"/>
      <c r="I167" s="21" t="n"/>
      <c r="J167" s="9" t="n"/>
      <c r="K167" s="21" t="n"/>
      <c r="L167" s="21" t="n"/>
      <c r="M167" s="21" t="n"/>
      <c r="N167" s="21" t="n"/>
      <c r="O167" s="21" t="n"/>
      <c r="P167" s="9" t="n"/>
      <c r="Q167" s="22" t="n"/>
    </row>
    <row r="168" ht="30" customHeight="1">
      <c r="A168" s="19" t="n">
        <v>46267</v>
      </c>
      <c r="B168" s="28" t="inlineStr">
        <is>
          <t>26-06</t>
        </is>
      </c>
      <c r="C168" s="10">
        <f>COUNTIF($B$13:B168,B168)</f>
        <v/>
      </c>
      <c r="D168" s="20" t="inlineStr">
        <is>
          <t>Sanaqulova</t>
        </is>
      </c>
      <c r="E168" s="20" t="inlineStr">
        <is>
          <t>Nozliya</t>
        </is>
      </c>
      <c r="F168" s="21" t="inlineStr">
        <is>
          <t>G'ofur qizi</t>
        </is>
      </c>
      <c r="G168" s="21">
        <f>Таблица1[[#This Row],[Familiyasi]]&amp;" "&amp;Таблица1[[#This Row],[Ismi]]&amp;" "&amp;Таблица1[[#This Row],[Otasining ismi]]</f>
        <v/>
      </c>
      <c r="H168" s="9" t="inlineStr">
        <is>
          <t>04.09.2001</t>
        </is>
      </c>
      <c r="I168" s="21" t="inlineStr">
        <is>
          <t>ac1805235</t>
        </is>
      </c>
      <c r="J168" s="9" t="inlineStr">
        <is>
          <t>60409015590065</t>
        </is>
      </c>
      <c r="K168" s="21" t="inlineStr">
        <is>
          <t>08.04.2019</t>
        </is>
      </c>
      <c r="L168" s="21" t="inlineStr">
        <is>
          <t>k 5509185</t>
        </is>
      </c>
      <c r="M168" s="21" t="inlineStr">
        <is>
          <t>miroq sport pedagogika kolleji</t>
        </is>
      </c>
      <c r="N168" s="21" t="inlineStr">
        <is>
          <t>hamshiralik ishi - 3 yillik</t>
        </is>
      </c>
      <c r="O168" s="21" t="inlineStr">
        <is>
          <t>2019</t>
        </is>
      </c>
      <c r="P168" s="9" t="inlineStr">
        <is>
          <t>32</t>
        </is>
      </c>
      <c r="Q168" s="22" t="inlineStr">
        <is>
          <t>sanaqulova nozliya   n 32.docx</t>
        </is>
      </c>
    </row>
    <row r="169" ht="30" customHeight="1">
      <c r="A169" s="19" t="n">
        <v>46267</v>
      </c>
      <c r="B169" s="28" t="inlineStr">
        <is>
          <t>26-06</t>
        </is>
      </c>
      <c r="C169" s="10">
        <f>COUNTIF($B$13:B169,B169)</f>
        <v/>
      </c>
      <c r="D169" s="20" t="inlineStr">
        <is>
          <t>Sayfullayeva</t>
        </is>
      </c>
      <c r="E169" s="20" t="inlineStr">
        <is>
          <t>Shodiyona</t>
        </is>
      </c>
      <c r="F169" s="21" t="inlineStr">
        <is>
          <t>Sayfulla qizi</t>
        </is>
      </c>
      <c r="G169" s="21">
        <f>Таблица1[[#This Row],[Familiyasi]]&amp;" "&amp;Таблица1[[#This Row],[Ismi]]&amp;" "&amp;Таблица1[[#This Row],[Otasining ismi]]</f>
        <v/>
      </c>
      <c r="H169" s="9" t="n"/>
      <c r="I169" s="21" t="n"/>
      <c r="J169" s="9" t="n"/>
      <c r="K169" s="21" t="n"/>
      <c r="L169" s="21" t="n"/>
      <c r="M169" s="21" t="n"/>
      <c r="N169" s="21" t="n"/>
      <c r="O169" s="21" t="n"/>
      <c r="P169" s="9" t="n"/>
      <c r="Q169" s="22" t="n"/>
    </row>
    <row r="170" ht="30" customHeight="1">
      <c r="A170" s="19" t="n">
        <v>46267</v>
      </c>
      <c r="B170" s="28" t="inlineStr">
        <is>
          <t>26-06</t>
        </is>
      </c>
      <c r="C170" s="10">
        <f>COUNTIF($B$13:B170,B170)</f>
        <v/>
      </c>
      <c r="D170" s="20" t="inlineStr">
        <is>
          <t>Turayeva</t>
        </is>
      </c>
      <c r="E170" s="20" t="inlineStr">
        <is>
          <t>Gulasal</t>
        </is>
      </c>
      <c r="F170" s="21" t="inlineStr">
        <is>
          <t>Jura qizi</t>
        </is>
      </c>
      <c r="G170" s="21">
        <f>Таблица1[[#This Row],[Familiyasi]]&amp;" "&amp;Таблица1[[#This Row],[Ismi]]&amp;" "&amp;Таблица1[[#This Row],[Otasining ismi]]</f>
        <v/>
      </c>
      <c r="H170" s="9" t="inlineStr">
        <is>
          <t>24.08.2006</t>
        </is>
      </c>
      <c r="I170" s="21" t="inlineStr">
        <is>
          <t>ad2624840</t>
        </is>
      </c>
      <c r="J170" s="9" t="inlineStr">
        <is>
          <t>62408065590018</t>
        </is>
      </c>
      <c r="K170" s="21" t="inlineStr">
        <is>
          <t>18.02.2023</t>
        </is>
      </c>
      <c r="L170" s="21" t="inlineStr">
        <is>
          <t>um 01922678</t>
        </is>
      </c>
      <c r="M170" s="21" t="inlineStr">
        <is>
          <t>15-sonli umumiy o'rta ta'lim maktabi</t>
        </is>
      </c>
      <c r="N170" s="21" t="inlineStr">
        <is>
          <t>hamshiralik ishi - 2 yillik</t>
        </is>
      </c>
      <c r="O170" s="21" t="inlineStr">
        <is>
          <t>2023</t>
        </is>
      </c>
      <c r="P170" s="9" t="inlineStr">
        <is>
          <t>21</t>
        </is>
      </c>
      <c r="Q170" s="22" t="inlineStr">
        <is>
          <t>turayeva gulasal 21.docx</t>
        </is>
      </c>
    </row>
    <row r="171" ht="30" customHeight="1">
      <c r="A171" s="19" t="n">
        <v>46267</v>
      </c>
      <c r="B171" s="28" t="inlineStr">
        <is>
          <t>26-06</t>
        </is>
      </c>
      <c r="C171" s="10">
        <f>COUNTIF($B$13:B171,B171)</f>
        <v/>
      </c>
      <c r="D171" s="20" t="inlineStr">
        <is>
          <t>Xolmurodova</t>
        </is>
      </c>
      <c r="E171" s="20" t="inlineStr">
        <is>
          <t>Sabina</t>
        </is>
      </c>
      <c r="F171" s="21" t="inlineStr">
        <is>
          <t>A'zam qizi</t>
        </is>
      </c>
      <c r="G171" s="21">
        <f>Таблица1[[#This Row],[Familiyasi]]&amp;" "&amp;Таблица1[[#This Row],[Ismi]]&amp;" "&amp;Таблица1[[#This Row],[Otasining ismi]]</f>
        <v/>
      </c>
      <c r="H171" s="9" t="inlineStr">
        <is>
          <t>16.04.2006</t>
        </is>
      </c>
      <c r="I171" s="21" t="inlineStr">
        <is>
          <t>ad2922676</t>
        </is>
      </c>
      <c r="J171" s="9" t="inlineStr">
        <is>
          <t>61604065590015</t>
        </is>
      </c>
      <c r="K171" s="21" t="inlineStr">
        <is>
          <t>01.04.2023</t>
        </is>
      </c>
      <c r="L171" s="21" t="inlineStr">
        <is>
          <t>um 02172469</t>
        </is>
      </c>
      <c r="M171" s="21" t="inlineStr">
        <is>
          <t>15-sonli umumiy o'rta ta'lim maktabini</t>
        </is>
      </c>
      <c r="N171" s="21" t="inlineStr">
        <is>
          <t>hamshiralik ishi - 3 yillik</t>
        </is>
      </c>
      <c r="O171" s="21" t="inlineStr">
        <is>
          <t>2024</t>
        </is>
      </c>
      <c r="P171" s="9" t="inlineStr">
        <is>
          <t>138</t>
        </is>
      </c>
      <c r="Q171" s="22" t="inlineStr">
        <is>
          <t>xolmurodova sabina 138.docx</t>
        </is>
      </c>
    </row>
    <row r="172" ht="30" customHeight="1">
      <c r="A172" s="19" t="n">
        <v>46267</v>
      </c>
      <c r="B172" s="28" t="inlineStr">
        <is>
          <t>26-06</t>
        </is>
      </c>
      <c r="C172" s="10">
        <f>COUNTIF($B$13:B172,B172)</f>
        <v/>
      </c>
      <c r="D172" s="20" t="inlineStr">
        <is>
          <t>Yahyomurodova</t>
        </is>
      </c>
      <c r="E172" s="20" t="inlineStr">
        <is>
          <t>Gulsanam</t>
        </is>
      </c>
      <c r="F172" s="21" t="inlineStr">
        <is>
          <t>Akmal qizi</t>
        </is>
      </c>
      <c r="G172" s="21">
        <f>Таблица1[[#This Row],[Familiyasi]]&amp;" "&amp;Таблица1[[#This Row],[Ismi]]&amp;" "&amp;Таблица1[[#This Row],[Otasining ismi]]</f>
        <v/>
      </c>
      <c r="H172" s="9" t="inlineStr">
        <is>
          <t>28.02.2008</t>
        </is>
      </c>
      <c r="I172" s="21" t="inlineStr">
        <is>
          <t>ae4629898</t>
        </is>
      </c>
      <c r="J172" s="9" t="inlineStr">
        <is>
          <t>62802085680012</t>
        </is>
      </c>
      <c r="K172" s="21" t="inlineStr">
        <is>
          <t>15.10.2025</t>
        </is>
      </c>
      <c r="L172" s="21" t="inlineStr">
        <is>
          <t>um 03729356</t>
        </is>
      </c>
      <c r="M172" s="21" t="inlineStr">
        <is>
          <t>46-sonli umumiy o'rta ta'lim maktabini</t>
        </is>
      </c>
      <c r="N172" s="21" t="inlineStr">
        <is>
          <t>hamshiralik ishi - 3 yillik</t>
        </is>
      </c>
      <c r="O172" s="21" t="inlineStr">
        <is>
          <t>2026</t>
        </is>
      </c>
      <c r="P172" s="9" t="inlineStr">
        <is>
          <t>247</t>
        </is>
      </c>
      <c r="Q172" s="22" t="inlineStr">
        <is>
          <t>yahyomurodova gulsanam 247.docx</t>
        </is>
      </c>
    </row>
    <row r="173" ht="30" customHeight="1">
      <c r="A173" s="19" t="n">
        <v>46267</v>
      </c>
      <c r="B173" s="28" t="inlineStr">
        <is>
          <t>26-06</t>
        </is>
      </c>
      <c r="C173" s="10">
        <f>COUNTIF($B$13:B173,B173)</f>
        <v/>
      </c>
      <c r="D173" s="20" t="inlineStr">
        <is>
          <t>Zarifova</t>
        </is>
      </c>
      <c r="E173" s="20" t="inlineStr">
        <is>
          <t>Marjona</t>
        </is>
      </c>
      <c r="F173" s="21" t="inlineStr">
        <is>
          <t>Samijon qizi</t>
        </is>
      </c>
      <c r="G173" s="21">
        <f>Таблица1[[#This Row],[Familiyasi]]&amp;" "&amp;Таблица1[[#This Row],[Ismi]]&amp;" "&amp;Таблица1[[#This Row],[Otasining ismi]]</f>
        <v/>
      </c>
      <c r="H173" s="9" t="inlineStr">
        <is>
          <t>30.07.2008</t>
        </is>
      </c>
      <c r="I173" s="21" t="inlineStr">
        <is>
          <t>ae4688777</t>
        </is>
      </c>
      <c r="J173" s="9" t="inlineStr">
        <is>
          <t>63007085680074</t>
        </is>
      </c>
      <c r="K173" s="21" t="inlineStr">
        <is>
          <t>20.10.2025</t>
        </is>
      </c>
      <c r="L173" s="21" t="inlineStr">
        <is>
          <t>um 03729907</t>
        </is>
      </c>
      <c r="M173" s="21" t="inlineStr">
        <is>
          <t>umumiy o'rta ta'lim to'g'risida shahodatnoma</t>
        </is>
      </c>
      <c r="N173" s="21" t="inlineStr">
        <is>
          <t>hamshiralik ishi - 3 yillik</t>
        </is>
      </c>
      <c r="O173" s="21" t="inlineStr">
        <is>
          <t>2026</t>
        </is>
      </c>
      <c r="P173" s="9" t="inlineStr">
        <is>
          <t>93</t>
        </is>
      </c>
      <c r="Q173" s="22" t="inlineStr">
        <is>
          <t>zarifova marjona 93.docx</t>
        </is>
      </c>
    </row>
    <row r="174" ht="30" customHeight="1">
      <c r="A174" s="19" t="n">
        <v>46267</v>
      </c>
      <c r="B174" s="28" t="inlineStr">
        <is>
          <t>26-07</t>
        </is>
      </c>
      <c r="C174" s="10">
        <f>COUNTIF($B$13:B174,B174)</f>
        <v/>
      </c>
      <c r="D174" s="20" t="inlineStr">
        <is>
          <t>G'aniyeva</t>
        </is>
      </c>
      <c r="E174" s="20" t="inlineStr">
        <is>
          <t>Asila</t>
        </is>
      </c>
      <c r="F174" s="21" t="inlineStr">
        <is>
          <t>G'ani qizi</t>
        </is>
      </c>
      <c r="G174" s="21">
        <f>Таблица1[[#This Row],[Familiyasi]]&amp;" "&amp;Таблица1[[#This Row],[Ismi]]&amp;" "&amp;Таблица1[[#This Row],[Otasining ismi]]</f>
        <v/>
      </c>
      <c r="H174" s="9" t="inlineStr">
        <is>
          <t>10.11.1992</t>
        </is>
      </c>
      <c r="I174" s="21" t="inlineStr">
        <is>
          <t>ae5575300</t>
        </is>
      </c>
      <c r="J174" s="9" t="inlineStr">
        <is>
          <t>41011925590038</t>
        </is>
      </c>
      <c r="K174" s="21" t="inlineStr">
        <is>
          <t>23.12.2025</t>
        </is>
      </c>
      <c r="L174" s="21" t="inlineStr">
        <is>
          <t>L 125287</t>
        </is>
      </c>
      <c r="M174" s="21" t="inlineStr">
        <is>
          <t>yunusobod akademik litsey</t>
        </is>
      </c>
      <c r="N174" s="21" t="inlineStr">
        <is>
          <t>hamshiralik ishi - 3 yillik</t>
        </is>
      </c>
      <c r="O174" s="21" t="inlineStr">
        <is>
          <t>2011</t>
        </is>
      </c>
      <c r="P174" s="9" t="inlineStr">
        <is>
          <t>381</t>
        </is>
      </c>
      <c r="Q174" s="22" t="inlineStr">
        <is>
          <t>g'aniyeva asila  381.docx</t>
        </is>
      </c>
    </row>
    <row r="175" ht="30" customHeight="1">
      <c r="A175" s="19" t="n">
        <v>46267</v>
      </c>
      <c r="B175" s="28" t="inlineStr">
        <is>
          <t>26-07</t>
        </is>
      </c>
      <c r="C175" s="10">
        <f>COUNTIF($B$13:B175,B175)</f>
        <v/>
      </c>
      <c r="D175" s="20" t="inlineStr">
        <is>
          <t>Muhammadiyeva</t>
        </is>
      </c>
      <c r="E175" s="20" t="inlineStr">
        <is>
          <t>Gulbahor</t>
        </is>
      </c>
      <c r="F175" s="21" t="inlineStr">
        <is>
          <t>Uchqun qizi</t>
        </is>
      </c>
      <c r="G175" s="21">
        <f>Таблица1[[#This Row],[Familiyasi]]&amp;" "&amp;Таблица1[[#This Row],[Ismi]]&amp;" "&amp;Таблица1[[#This Row],[Otasining ismi]]</f>
        <v/>
      </c>
      <c r="H175" s="9" t="inlineStr">
        <is>
          <t>19.02.1997</t>
        </is>
      </c>
      <c r="I175" s="21" t="inlineStr">
        <is>
          <t>ad7829399</t>
        </is>
      </c>
      <c r="J175" s="9" t="inlineStr">
        <is>
          <t>41902975680049</t>
        </is>
      </c>
      <c r="K175" s="21" t="inlineStr">
        <is>
          <t>11.07.2024</t>
        </is>
      </c>
      <c r="L175" s="21" t="inlineStr">
        <is>
          <t>k 0236649</t>
        </is>
      </c>
      <c r="M175" s="21" t="inlineStr">
        <is>
          <t>kitob qishloq xo'jaligi va sanoat kasb-hunar kolleji</t>
        </is>
      </c>
      <c r="N175" s="21" t="inlineStr">
        <is>
          <t>hamshiralik ishi - 3 yillik</t>
        </is>
      </c>
      <c r="O175" s="21" t="inlineStr">
        <is>
          <t>2016</t>
        </is>
      </c>
      <c r="P175" s="9" t="inlineStr">
        <is>
          <t>81</t>
        </is>
      </c>
      <c r="Q175" s="22" t="inlineStr">
        <is>
          <t>muhammadiyeva  gulbahor 81.docx</t>
        </is>
      </c>
    </row>
    <row r="176" ht="30" customHeight="1">
      <c r="A176" s="19" t="n">
        <v>46267</v>
      </c>
      <c r="B176" s="28" t="inlineStr">
        <is>
          <t>26-07</t>
        </is>
      </c>
      <c r="C176" s="10">
        <f>COUNTIF($B$13:B176,B176)</f>
        <v/>
      </c>
      <c r="D176" s="20" t="inlineStr">
        <is>
          <t>Mustafayeva</t>
        </is>
      </c>
      <c r="E176" s="20" t="inlineStr">
        <is>
          <t>Nargiza</t>
        </is>
      </c>
      <c r="F176" s="21" t="n"/>
      <c r="G176" s="21">
        <f>Таблица1[[#This Row],[Familiyasi]]&amp;" "&amp;Таблица1[[#This Row],[Ismi]]&amp;" "&amp;Таблица1[[#This Row],[Otasining ismi]]</f>
        <v/>
      </c>
      <c r="H176" s="9" t="inlineStr"/>
      <c r="I176" s="21" t="inlineStr"/>
      <c r="J176" s="9" t="inlineStr"/>
      <c r="K176" s="21" t="inlineStr"/>
      <c r="L176" s="21" t="inlineStr"/>
      <c r="M176" s="21" t="inlineStr"/>
      <c r="N176" s="21" t="inlineStr">
        <is>
          <t>hamshiralik ishi - 3 yillik</t>
        </is>
      </c>
      <c r="O176" s="21" t="inlineStr"/>
      <c r="P176" s="9" t="inlineStr">
        <is>
          <t>206</t>
        </is>
      </c>
      <c r="Q176" s="22" t="inlineStr"/>
    </row>
    <row r="177" ht="30" customHeight="1">
      <c r="A177" s="19" t="n">
        <v>46267</v>
      </c>
      <c r="B177" s="28" t="inlineStr">
        <is>
          <t>26-07</t>
        </is>
      </c>
      <c r="C177" s="10">
        <f>COUNTIF($B$13:B177,B177)</f>
        <v/>
      </c>
      <c r="D177" s="20" t="inlineStr">
        <is>
          <t>Nazarova</t>
        </is>
      </c>
      <c r="E177" s="20" t="inlineStr">
        <is>
          <t>Munisa</t>
        </is>
      </c>
      <c r="F177" s="21" t="n"/>
      <c r="G177" s="21">
        <f>Таблица1[[#This Row],[Familiyasi]]&amp;" "&amp;Таблица1[[#This Row],[Ismi]]&amp;" "&amp;Таблица1[[#This Row],[Otasining ismi]]</f>
        <v/>
      </c>
      <c r="H177" s="9" t="n"/>
      <c r="I177" s="21" t="n"/>
      <c r="J177" s="9" t="n"/>
      <c r="K177" s="21" t="n"/>
      <c r="L177" s="21" t="n"/>
      <c r="M177" s="21" t="n"/>
      <c r="N177" s="21" t="n"/>
      <c r="O177" s="21" t="n"/>
      <c r="P177" s="9" t="n"/>
      <c r="Q177" s="22" t="n"/>
    </row>
    <row r="178" ht="30" customHeight="1">
      <c r="A178" s="19" t="n">
        <v>46267</v>
      </c>
      <c r="B178" s="28" t="inlineStr">
        <is>
          <t>26-07</t>
        </is>
      </c>
      <c r="C178" s="10">
        <f>COUNTIF($B$13:B178,B178)</f>
        <v/>
      </c>
      <c r="D178" s="20" t="inlineStr">
        <is>
          <t>Narziyeva</t>
        </is>
      </c>
      <c r="E178" s="20" t="inlineStr">
        <is>
          <t>Intizor</t>
        </is>
      </c>
      <c r="F178" s="21" t="inlineStr">
        <is>
          <t>Iskandar qizi</t>
        </is>
      </c>
      <c r="G178" s="21" t="inlineStr">
        <is>
          <t>Narziyeva Intizor Iskandar qizi</t>
        </is>
      </c>
      <c r="H178" s="9" t="inlineStr">
        <is>
          <t>02.11.1999</t>
        </is>
      </c>
      <c r="I178" s="21" t="inlineStr">
        <is>
          <t>ab5359926</t>
        </is>
      </c>
      <c r="J178" s="9" t="inlineStr">
        <is>
          <t>40211995680023</t>
        </is>
      </c>
      <c r="K178" s="21" t="inlineStr">
        <is>
          <t>12.12.2016</t>
        </is>
      </c>
      <c r="L178" s="21" t="inlineStr">
        <is>
          <t>K 5047841</t>
        </is>
      </c>
      <c r="M178" s="21" t="inlineStr">
        <is>
          <t>kitob san'at va xizmat ko'rsatish kasb-hunar kolleji</t>
        </is>
      </c>
      <c r="N178" s="21" t="inlineStr">
        <is>
          <t>hamshiralik ishi - 3 yillik</t>
        </is>
      </c>
      <c r="O178" s="21" t="inlineStr">
        <is>
          <t>2018</t>
        </is>
      </c>
      <c r="P178" s="9" t="inlineStr">
        <is>
          <t>212</t>
        </is>
      </c>
      <c r="Q178" s="22" t="inlineStr">
        <is>
          <t>nazirova  intizor 212.docx</t>
        </is>
      </c>
    </row>
    <row r="179" ht="30" customHeight="1">
      <c r="A179" s="19" t="n">
        <v>46267</v>
      </c>
      <c r="B179" s="28" t="inlineStr">
        <is>
          <t>26-07</t>
        </is>
      </c>
      <c r="C179" s="10">
        <f>COUNTIF($B$13:B179,B179)</f>
        <v/>
      </c>
      <c r="D179" s="20" t="inlineStr">
        <is>
          <t>Salayeva</t>
        </is>
      </c>
      <c r="E179" s="20" t="inlineStr">
        <is>
          <t>Dilroz</t>
        </is>
      </c>
      <c r="F179" s="21" t="n"/>
      <c r="G179" s="21">
        <f>Таблица1[[#This Row],[Familiyasi]]&amp;" "&amp;Таблица1[[#This Row],[Ismi]]&amp;" "&amp;Таблица1[[#This Row],[Otasining ismi]]</f>
        <v/>
      </c>
      <c r="H179" s="9" t="inlineStr"/>
      <c r="I179" s="21" t="inlineStr"/>
      <c r="J179" s="9" t="inlineStr"/>
      <c r="K179" s="21" t="inlineStr"/>
      <c r="L179" s="21" t="inlineStr"/>
      <c r="M179" s="21" t="inlineStr"/>
      <c r="N179" s="21" t="inlineStr">
        <is>
          <t>hamshiralik ishi - 3 yillik</t>
        </is>
      </c>
      <c r="O179" s="21" t="inlineStr"/>
      <c r="P179" s="9" t="inlineStr">
        <is>
          <t>205</t>
        </is>
      </c>
      <c r="Q179" s="22" t="inlineStr">
        <is>
          <t>mustafoyeva nargiza    205 (1).docx</t>
        </is>
      </c>
    </row>
    <row r="180" ht="30" customHeight="1">
      <c r="A180" s="19" t="n">
        <v>46280</v>
      </c>
      <c r="B180" s="28" t="inlineStr">
        <is>
          <t>26-07</t>
        </is>
      </c>
      <c r="C180" s="10">
        <f>COUNTIF($B$13:B180,B180)</f>
        <v/>
      </c>
      <c r="D180" s="20" t="inlineStr">
        <is>
          <t>Usmonova</t>
        </is>
      </c>
      <c r="E180" s="20" t="inlineStr">
        <is>
          <t>Gulnoza</t>
        </is>
      </c>
      <c r="F180" s="21" t="n"/>
      <c r="G180" s="21">
        <f>Таблица1[[#This Row],[Familiyasi]]&amp;" "&amp;Таблица1[[#This Row],[Ismi]]&amp;" "&amp;Таблица1[[#This Row],[Otasining ismi]]</f>
        <v/>
      </c>
      <c r="H180" s="9" t="n"/>
      <c r="I180" s="21" t="n"/>
      <c r="J180" s="9" t="n"/>
      <c r="K180" s="21" t="n"/>
      <c r="L180" s="21" t="n"/>
      <c r="M180" s="21" t="n"/>
      <c r="N180" s="21" t="n"/>
      <c r="O180" s="21" t="n"/>
      <c r="P180" s="9" t="n"/>
      <c r="Q180" s="22" t="n"/>
    </row>
    <row r="181" ht="30" customHeight="1">
      <c r="A181" s="19" t="n">
        <v>46267</v>
      </c>
      <c r="B181" s="28" t="inlineStr">
        <is>
          <t>N</t>
        </is>
      </c>
      <c r="C181" s="10">
        <f>COUNTIF($B$13:B181,B181)</f>
        <v/>
      </c>
      <c r="D181" s="20" t="inlineStr">
        <is>
          <t>Abdikarimova</t>
        </is>
      </c>
      <c r="E181" s="20" t="inlineStr">
        <is>
          <t>Ruhshona</t>
        </is>
      </c>
      <c r="F181" s="21" t="inlineStr">
        <is>
          <t>Jahongir qizi</t>
        </is>
      </c>
      <c r="G181" s="21">
        <f>Таблица1[[#This Row],[Familiyasi]]&amp;" "&amp;Таблица1[[#This Row],[Ismi]]&amp;" "&amp;Таблица1[[#This Row],[Otasining ismi]]</f>
        <v/>
      </c>
      <c r="H181" s="9" t="inlineStr">
        <is>
          <t>18.07.2005</t>
        </is>
      </c>
      <c r="I181" s="21" t="inlineStr">
        <is>
          <t>ad2671483</t>
        </is>
      </c>
      <c r="J181" s="9" t="inlineStr">
        <is>
          <t>61807055680020</t>
        </is>
      </c>
      <c r="K181" s="21" t="inlineStr">
        <is>
          <t>24.02.2023</t>
        </is>
      </c>
      <c r="L181" s="21" t="inlineStr">
        <is>
          <t>um 0190985</t>
        </is>
      </c>
      <c r="M181" s="21" t="inlineStr">
        <is>
          <t>qashqadaryo viloyati, kitob tumani 12-sonli umumiy o'rta ta'lim maktabini</t>
        </is>
      </c>
      <c r="N181" s="21" t="inlineStr">
        <is>
          <t>hamshiralik ishi - 3 yillik</t>
        </is>
      </c>
      <c r="O181" s="21" t="inlineStr">
        <is>
          <t>2023</t>
        </is>
      </c>
      <c r="P181" s="9" t="inlineStr">
        <is>
          <t>240</t>
        </is>
      </c>
      <c r="Q181" s="22" t="inlineStr">
        <is>
          <t>abdikarimova ruxshona  240.docx</t>
        </is>
      </c>
    </row>
    <row r="182" ht="30" customHeight="1">
      <c r="A182" s="19" t="n">
        <v>46267</v>
      </c>
      <c r="B182" s="28" t="inlineStr">
        <is>
          <t>N</t>
        </is>
      </c>
      <c r="C182" s="10">
        <f>COUNTIF($B$13:B182,B182)</f>
        <v/>
      </c>
      <c r="D182" s="20" t="inlineStr">
        <is>
          <t>Abdimajidova</t>
        </is>
      </c>
      <c r="E182" s="20" t="inlineStr">
        <is>
          <t>Gulshoda</t>
        </is>
      </c>
      <c r="F182" s="21" t="inlineStr">
        <is>
          <t>Asqarjon qizi</t>
        </is>
      </c>
      <c r="G182" s="21">
        <f>Таблица1[[#This Row],[Familiyasi]]&amp;" "&amp;Таблица1[[#This Row],[Ismi]]&amp;" "&amp;Таблица1[[#This Row],[Otasining ismi]]</f>
        <v/>
      </c>
      <c r="H182" s="9" t="inlineStr">
        <is>
          <t>19.04.2003</t>
        </is>
      </c>
      <c r="I182" s="21" t="inlineStr">
        <is>
          <t>ac2236400</t>
        </is>
      </c>
      <c r="J182" s="9" t="inlineStr">
        <is>
          <t>61904035590028</t>
        </is>
      </c>
      <c r="K182" s="21" t="inlineStr">
        <is>
          <t>26.09.2019</t>
        </is>
      </c>
      <c r="L182" s="21" t="inlineStr">
        <is>
          <t>um 0418282</t>
        </is>
      </c>
      <c r="M182" s="21" t="inlineStr">
        <is>
          <t>kitob tumani 10-sonli umumiy o'rta ta'lim maktabi</t>
        </is>
      </c>
      <c r="N182" s="21" t="inlineStr">
        <is>
          <t>farmatsiya ishi</t>
        </is>
      </c>
      <c r="O182" s="21" t="inlineStr">
        <is>
          <t>2020</t>
        </is>
      </c>
      <c r="P182" s="9" t="inlineStr">
        <is>
          <t>10</t>
        </is>
      </c>
      <c r="Q182" s="22" t="inlineStr">
        <is>
          <t>abdimajidova gulshoda.docx</t>
        </is>
      </c>
    </row>
    <row r="183" ht="30" customHeight="1">
      <c r="A183" s="19" t="n">
        <v>46267</v>
      </c>
      <c r="B183" s="28" t="inlineStr">
        <is>
          <t>N</t>
        </is>
      </c>
      <c r="C183" s="10">
        <f>COUNTIF($B$13:B183,B183)</f>
        <v/>
      </c>
      <c r="D183" s="20" t="inlineStr">
        <is>
          <t>Abdug'apporova</t>
        </is>
      </c>
      <c r="E183" s="20" t="inlineStr">
        <is>
          <t>E'zoza</t>
        </is>
      </c>
      <c r="F183" s="21" t="inlineStr">
        <is>
          <t>Abdirasul qizi</t>
        </is>
      </c>
      <c r="G183" s="21">
        <f>Таблица1[[#This Row],[Familiyasi]]&amp;" "&amp;Таблица1[[#This Row],[Ismi]]&amp;" "&amp;Таблица1[[#This Row],[Otasining ismi]]</f>
        <v/>
      </c>
      <c r="H183" s="9" t="inlineStr">
        <is>
          <t>25.03.2008</t>
        </is>
      </c>
      <c r="I183" s="21" t="inlineStr">
        <is>
          <t>ae5933567</t>
        </is>
      </c>
      <c r="J183" s="9" t="inlineStr">
        <is>
          <t>62503085720066</t>
        </is>
      </c>
      <c r="K183" s="21" t="inlineStr">
        <is>
          <t>19.01.2026</t>
        </is>
      </c>
      <c r="L183" s="21" t="inlineStr">
        <is>
          <t>um 03720035</t>
        </is>
      </c>
      <c r="M183" s="21" t="inlineStr">
        <is>
          <t>112-sonli umumiy o'rta ta'lim maktabi</t>
        </is>
      </c>
      <c r="N183" s="21" t="inlineStr">
        <is>
          <t>hamshiralik ishi - 3 yillik</t>
        </is>
      </c>
      <c r="O183" s="21" t="inlineStr">
        <is>
          <t>2026</t>
        </is>
      </c>
      <c r="P183" s="9" t="inlineStr">
        <is>
          <t>186</t>
        </is>
      </c>
      <c r="Q183" s="22" t="inlineStr">
        <is>
          <t>abdug’apporova ezoza186.docx</t>
        </is>
      </c>
    </row>
    <row r="184" ht="30" customHeight="1">
      <c r="A184" s="19" t="n">
        <v>46267</v>
      </c>
      <c r="B184" s="28" t="inlineStr">
        <is>
          <t>N</t>
        </is>
      </c>
      <c r="C184" s="10">
        <f>COUNTIF($B$13:B184,B184)</f>
        <v/>
      </c>
      <c r="D184" s="20" t="inlineStr">
        <is>
          <t>Abdukarimova</t>
        </is>
      </c>
      <c r="E184" s="20" t="inlineStr">
        <is>
          <t>Nafosat</t>
        </is>
      </c>
      <c r="F184" s="21" t="n"/>
      <c r="G184" s="47">
        <f>Таблица1[[#This Row],[Familiyasi]]&amp;" "&amp;Таблица1[[#This Row],[Ismi]]&amp;" "&amp;Таблица1[[#This Row],[Otasining ismi]]</f>
        <v/>
      </c>
      <c r="H184" s="9" t="n"/>
      <c r="I184" s="21" t="n"/>
      <c r="J184" s="9" t="n"/>
      <c r="K184" s="21" t="n"/>
      <c r="L184" s="21" t="n"/>
      <c r="M184" s="21" t="n"/>
      <c r="N184" s="21" t="n"/>
      <c r="O184" s="21" t="n"/>
      <c r="P184" s="9" t="n"/>
      <c r="Q184" s="22" t="n"/>
    </row>
    <row r="185" ht="30" customHeight="1">
      <c r="A185" s="19" t="n">
        <v>46267</v>
      </c>
      <c r="B185" s="28" t="inlineStr">
        <is>
          <t>N</t>
        </is>
      </c>
      <c r="C185" s="10">
        <f>COUNTIF($B$13:B185,B185)</f>
        <v/>
      </c>
      <c r="D185" s="20" t="inlineStr">
        <is>
          <t>Abdullayeva</t>
        </is>
      </c>
      <c r="E185" s="20" t="inlineStr">
        <is>
          <t>Iroda</t>
        </is>
      </c>
      <c r="F185" s="21" t="inlineStr">
        <is>
          <t>Sodiq qizi</t>
        </is>
      </c>
      <c r="G185" s="21">
        <f>Таблица1[[#This Row],[Familiyasi]]&amp;" "&amp;Таблица1[[#This Row],[Ismi]]&amp;" "&amp;Таблица1[[#This Row],[Otasining ismi]]</f>
        <v/>
      </c>
      <c r="H185" s="9" t="inlineStr">
        <is>
          <t>30.09.2005</t>
        </is>
      </c>
      <c r="I185" s="21" t="inlineStr">
        <is>
          <t>ad2066297</t>
        </is>
      </c>
      <c r="J185" s="9" t="inlineStr">
        <is>
          <t>63009055590138</t>
        </is>
      </c>
      <c r="K185" s="21" t="inlineStr">
        <is>
          <t>23.11.2022</t>
        </is>
      </c>
      <c r="L185" s="21" t="inlineStr">
        <is>
          <t>um 01924962</t>
        </is>
      </c>
      <c r="M185" s="21" t="inlineStr">
        <is>
          <t>50-sonli umumiy o'rta ta'lim maktabi</t>
        </is>
      </c>
      <c r="N185" s="21" t="inlineStr">
        <is>
          <t>farmatsiya ishi</t>
        </is>
      </c>
      <c r="O185" s="21" t="inlineStr">
        <is>
          <t>2023</t>
        </is>
      </c>
      <c r="P185" s="9" t="inlineStr">
        <is>
          <t>142</t>
        </is>
      </c>
      <c r="Q185" s="22" t="inlineStr">
        <is>
          <t>abdullayeva iroda 142.docx</t>
        </is>
      </c>
    </row>
    <row r="186" ht="30" customHeight="1">
      <c r="A186" s="19" t="n">
        <v>46267</v>
      </c>
      <c r="B186" s="28" t="inlineStr">
        <is>
          <t>N</t>
        </is>
      </c>
      <c r="C186" s="10">
        <f>COUNTIF($B$13:B186,B186)</f>
        <v/>
      </c>
      <c r="D186" s="20" t="inlineStr">
        <is>
          <t>Abdurasulova</t>
        </is>
      </c>
      <c r="E186" s="20" t="inlineStr">
        <is>
          <t>Gulasal</t>
        </is>
      </c>
      <c r="F186" s="21" t="inlineStr">
        <is>
          <t>Nazarali qizi</t>
        </is>
      </c>
      <c r="G186" s="21">
        <f>Таблица1[[#This Row],[Familiyasi]]&amp;" "&amp;Таблица1[[#This Row],[Ismi]]&amp;" "&amp;Таблица1[[#This Row],[Otasining ismi]]</f>
        <v/>
      </c>
      <c r="H186" s="9" t="inlineStr">
        <is>
          <t>24.12.1998</t>
        </is>
      </c>
      <c r="I186" s="21" t="inlineStr">
        <is>
          <t>ab5327621</t>
        </is>
      </c>
      <c r="J186" s="9" t="inlineStr">
        <is>
          <t>42412985590061</t>
        </is>
      </c>
      <c r="K186" s="21" t="inlineStr">
        <is>
          <t>06.12.2016</t>
        </is>
      </c>
      <c r="L186" s="21" t="inlineStr">
        <is>
          <t>k 4607097</t>
        </is>
      </c>
      <c r="M186" s="21" t="inlineStr">
        <is>
          <t>shahrisabz xizmat ko'rsatish kasb-hunar kolleji</t>
        </is>
      </c>
      <c r="N186" s="21" t="inlineStr">
        <is>
          <t>hamshiralik ishi - 3 yillik</t>
        </is>
      </c>
      <c r="O186" s="21" t="inlineStr">
        <is>
          <t>2017</t>
        </is>
      </c>
      <c r="P186" s="9" t="inlineStr">
        <is>
          <t>147</t>
        </is>
      </c>
      <c r="Q186" s="22" t="inlineStr">
        <is>
          <t>abdurasulova gulasal 147.docx</t>
        </is>
      </c>
    </row>
    <row r="187" ht="30" customHeight="1">
      <c r="A187" s="19" t="n">
        <v>46267</v>
      </c>
      <c r="B187" s="28" t="inlineStr">
        <is>
          <t>N</t>
        </is>
      </c>
      <c r="C187" s="10">
        <f>COUNTIF($B$13:B187,B187)</f>
        <v/>
      </c>
      <c r="D187" s="20" t="inlineStr">
        <is>
          <t>Abduvasiyeva</t>
        </is>
      </c>
      <c r="E187" s="20" t="inlineStr">
        <is>
          <t>Durdona</t>
        </is>
      </c>
      <c r="F187" s="21" t="n"/>
      <c r="G187" s="21">
        <f>Таблица1[[#This Row],[Familiyasi]]&amp;" "&amp;Таблица1[[#This Row],[Ismi]]&amp;" "&amp;Таблица1[[#This Row],[Otasining ismi]]</f>
        <v/>
      </c>
      <c r="H187" s="9" t="inlineStr"/>
      <c r="I187" s="21" t="inlineStr"/>
      <c r="J187" s="9" t="inlineStr"/>
      <c r="K187" s="21" t="inlineStr"/>
      <c r="L187" s="21" t="inlineStr"/>
      <c r="M187" s="21" t="inlineStr"/>
      <c r="N187" s="21" t="inlineStr">
        <is>
          <t>hamshiralik ishi - 3 yillik</t>
        </is>
      </c>
      <c r="O187" s="21" t="inlineStr"/>
      <c r="P187" s="9" t="inlineStr">
        <is>
          <t>131</t>
        </is>
      </c>
      <c r="Q187" s="22" t="inlineStr"/>
    </row>
    <row r="188" ht="30" customHeight="1">
      <c r="A188" s="19" t="n">
        <v>46267</v>
      </c>
      <c r="B188" s="28" t="inlineStr">
        <is>
          <t>N</t>
        </is>
      </c>
      <c r="C188" s="10">
        <f>COUNTIF($B$13:B188,B188)</f>
        <v/>
      </c>
      <c r="D188" s="20" t="inlineStr">
        <is>
          <t>Absattorova</t>
        </is>
      </c>
      <c r="E188" s="20" t="inlineStr">
        <is>
          <t>Nafisa</t>
        </is>
      </c>
      <c r="F188" s="21" t="inlineStr">
        <is>
          <t>Alisher qizi</t>
        </is>
      </c>
      <c r="G188" s="21">
        <f>Таблица1[[#This Row],[Familiyasi]]&amp;" "&amp;Таблица1[[#This Row],[Ismi]]&amp;" "&amp;Таблица1[[#This Row],[Otasining ismi]]</f>
        <v/>
      </c>
      <c r="H188" s="9" t="inlineStr">
        <is>
          <t>04.01.2007</t>
        </is>
      </c>
      <c r="I188" s="21" t="inlineStr">
        <is>
          <t>ae1222110</t>
        </is>
      </c>
      <c r="J188" s="9" t="inlineStr">
        <is>
          <t>60401075590028</t>
        </is>
      </c>
      <c r="K188" s="21" t="inlineStr">
        <is>
          <t>16.01.2025</t>
        </is>
      </c>
      <c r="L188" s="21" t="inlineStr">
        <is>
          <t>um 03264816</t>
        </is>
      </c>
      <c r="M188" s="21" t="inlineStr">
        <is>
          <t>63-sonli umumiy o'rta ta'lim maktabi</t>
        </is>
      </c>
      <c r="N188" s="21" t="inlineStr">
        <is>
          <t>hamshiralik ishi - 2 yillik</t>
        </is>
      </c>
      <c r="O188" s="21" t="inlineStr">
        <is>
          <t>2025</t>
        </is>
      </c>
      <c r="P188" s="9" t="inlineStr">
        <is>
          <t>115</t>
        </is>
      </c>
      <c r="Q188" s="22" t="inlineStr">
        <is>
          <t>absottorova nafisa 115.docx</t>
        </is>
      </c>
    </row>
    <row r="189" ht="30" customHeight="1">
      <c r="A189" s="19" t="n">
        <v>46267</v>
      </c>
      <c r="B189" s="28" t="inlineStr">
        <is>
          <t>N</t>
        </is>
      </c>
      <c r="C189" s="10">
        <f>COUNTIF($B$13:B189,B189)</f>
        <v/>
      </c>
      <c r="D189" s="20" t="inlineStr">
        <is>
          <t>Aliqulova</t>
        </is>
      </c>
      <c r="E189" s="20" t="inlineStr">
        <is>
          <t>Sadoqat</t>
        </is>
      </c>
      <c r="F189" s="21" t="n"/>
      <c r="G189" s="21">
        <f>Таблица1[[#This Row],[Familiyasi]]&amp;" "&amp;Таблица1[[#This Row],[Ismi]]&amp;" "&amp;Таблица1[[#This Row],[Otasining ismi]]</f>
        <v/>
      </c>
      <c r="H189" s="9" t="inlineStr"/>
      <c r="I189" s="21" t="inlineStr"/>
      <c r="J189" s="9" t="inlineStr"/>
      <c r="K189" s="21" t="inlineStr"/>
      <c r="L189" s="21" t="inlineStr"/>
      <c r="M189" s="21" t="inlineStr"/>
      <c r="N189" s="21" t="inlineStr">
        <is>
          <t>farmatsiya ishi</t>
        </is>
      </c>
      <c r="O189" s="21" t="inlineStr"/>
      <c r="P189" s="9" t="inlineStr">
        <is>
          <t>65</t>
        </is>
      </c>
      <c r="Q189" s="22" t="inlineStr">
        <is>
          <t>isomiddinova ruhshona 65.docx</t>
        </is>
      </c>
    </row>
    <row r="190" ht="30" customHeight="1">
      <c r="A190" s="19" t="n">
        <v>46267</v>
      </c>
      <c r="B190" s="28" t="inlineStr">
        <is>
          <t>N</t>
        </is>
      </c>
      <c r="C190" s="10">
        <f>COUNTIF($B$13:B190,B190)</f>
        <v/>
      </c>
      <c r="D190" s="20" t="inlineStr">
        <is>
          <t>Aliqulova</t>
        </is>
      </c>
      <c r="E190" s="20" t="inlineStr">
        <is>
          <t>Shabbona</t>
        </is>
      </c>
      <c r="F190" s="21" t="inlineStr">
        <is>
          <t>Xolmurod qizi</t>
        </is>
      </c>
      <c r="G190" s="21">
        <f>Таблица1[[#This Row],[Familiyasi]]&amp;" "&amp;Таблица1[[#This Row],[Ismi]]&amp;" "&amp;Таблица1[[#This Row],[Otasining ismi]]</f>
        <v/>
      </c>
      <c r="H190" s="9" t="inlineStr">
        <is>
          <t>30.04.2008</t>
        </is>
      </c>
      <c r="I190" s="21" t="inlineStr">
        <is>
          <t>ad9492708</t>
        </is>
      </c>
      <c r="J190" s="9" t="inlineStr">
        <is>
          <t>63004085720067</t>
        </is>
      </c>
      <c r="K190" s="21" t="inlineStr">
        <is>
          <t>20.11.2024</t>
        </is>
      </c>
      <c r="L190" s="21" t="inlineStr">
        <is>
          <t>um 03718365</t>
        </is>
      </c>
      <c r="M190" s="21" t="inlineStr">
        <is>
          <t>37-sonli umumiy o'rta ta'lim maktabi</t>
        </is>
      </c>
      <c r="N190" s="21" t="inlineStr">
        <is>
          <t>hamshiralik ishi - 3 yillik</t>
        </is>
      </c>
      <c r="O190" s="21" t="inlineStr">
        <is>
          <t>2026</t>
        </is>
      </c>
      <c r="P190" s="9" t="inlineStr">
        <is>
          <t>61</t>
        </is>
      </c>
      <c r="Q190" s="22" t="inlineStr">
        <is>
          <t>aliqulova shabbona 61.docx</t>
        </is>
      </c>
    </row>
    <row r="191" ht="30" customHeight="1">
      <c r="A191" s="19" t="n">
        <v>46267</v>
      </c>
      <c r="B191" s="28" t="inlineStr">
        <is>
          <t>N</t>
        </is>
      </c>
      <c r="C191" s="10">
        <f>COUNTIF($B$13:B191,B191)</f>
        <v/>
      </c>
      <c r="D191" s="20" t="inlineStr">
        <is>
          <t>Amirqulova</t>
        </is>
      </c>
      <c r="E191" s="20" t="inlineStr">
        <is>
          <t>Gulsevar</t>
        </is>
      </c>
      <c r="F191" s="21" t="inlineStr">
        <is>
          <t>Sanjar qizi</t>
        </is>
      </c>
      <c r="G191" s="21">
        <f>Таблица1[[#This Row],[Familiyasi]]&amp;" "&amp;Таблица1[[#This Row],[Ismi]]&amp;" "&amp;Таблица1[[#This Row],[Otasining ismi]]</f>
        <v/>
      </c>
      <c r="H191" s="9" t="inlineStr">
        <is>
          <t>12.03.2008</t>
        </is>
      </c>
      <c r="I191" s="21" t="inlineStr">
        <is>
          <t>ae6063078</t>
        </is>
      </c>
      <c r="J191" s="9" t="inlineStr">
        <is>
          <t>61203085680023</t>
        </is>
      </c>
      <c r="K191" s="21" t="inlineStr">
        <is>
          <t>28.01.2026</t>
        </is>
      </c>
      <c r="L191" s="21" t="inlineStr">
        <is>
          <t>um 03729011</t>
        </is>
      </c>
      <c r="M191" s="21" t="inlineStr">
        <is>
          <t>33-sonli umumiy o'rta ta'lim maktabini</t>
        </is>
      </c>
      <c r="N191" s="21" t="inlineStr">
        <is>
          <t>hamshiralik ishi - 3 yillik</t>
        </is>
      </c>
      <c r="O191" s="21" t="inlineStr">
        <is>
          <t>2026</t>
        </is>
      </c>
      <c r="P191" s="9" t="inlineStr">
        <is>
          <t>244</t>
        </is>
      </c>
      <c r="Q191" s="22" t="inlineStr">
        <is>
          <t>amirqulova gulsevar 244.docx</t>
        </is>
      </c>
    </row>
    <row r="192" ht="30" customHeight="1">
      <c r="A192" s="19" t="n">
        <v>46267</v>
      </c>
      <c r="B192" s="28" t="inlineStr">
        <is>
          <t>N</t>
        </is>
      </c>
      <c r="C192" s="10">
        <f>COUNTIF($B$13:B192,B192)</f>
        <v/>
      </c>
      <c r="D192" s="20" t="inlineStr">
        <is>
          <t>Artiqova</t>
        </is>
      </c>
      <c r="E192" s="20" t="inlineStr">
        <is>
          <t>Moxira</t>
        </is>
      </c>
      <c r="F192" s="21" t="inlineStr">
        <is>
          <t>Ramazon qizi</t>
        </is>
      </c>
      <c r="G192" s="21">
        <f>Таблица1[[#This Row],[Familiyasi]]&amp;" "&amp;Таблица1[[#This Row],[Ismi]]&amp;" "&amp;Таблица1[[#This Row],[Otasining ismi]]</f>
        <v/>
      </c>
      <c r="H192" s="9" t="inlineStr">
        <is>
          <t>03.12.2007</t>
        </is>
      </c>
      <c r="I192" s="21" t="inlineStr">
        <is>
          <t>ad8429942</t>
        </is>
      </c>
      <c r="J192" s="9" t="inlineStr">
        <is>
          <t>60312075630047</t>
        </is>
      </c>
      <c r="K192" s="21" t="inlineStr">
        <is>
          <t>29.08.2024</t>
        </is>
      </c>
      <c r="L192" s="21" t="inlineStr">
        <is>
          <t>um 03742054</t>
        </is>
      </c>
      <c r="M192" s="21" t="inlineStr">
        <is>
          <t>67-sonli umumiy o'rta ta'lim maktabi</t>
        </is>
      </c>
      <c r="N192" s="21" t="inlineStr">
        <is>
          <t>hamshiralik ishi - 3 yillik</t>
        </is>
      </c>
      <c r="O192" s="21" t="inlineStr">
        <is>
          <t>2026</t>
        </is>
      </c>
      <c r="P192" s="9" t="inlineStr">
        <is>
          <t>193</t>
        </is>
      </c>
      <c r="Q192" s="22" t="inlineStr">
        <is>
          <t>artiqova moxira 193.docx</t>
        </is>
      </c>
    </row>
    <row r="193" ht="30" customHeight="1">
      <c r="A193" s="19" t="n">
        <v>46267</v>
      </c>
      <c r="B193" s="28" t="inlineStr">
        <is>
          <t>N</t>
        </is>
      </c>
      <c r="C193" s="10">
        <f>COUNTIF($B$13:B193,B193)</f>
        <v/>
      </c>
      <c r="D193" s="20" t="inlineStr">
        <is>
          <t>Axadova</t>
        </is>
      </c>
      <c r="E193" s="20" t="inlineStr">
        <is>
          <t>Aziza</t>
        </is>
      </c>
      <c r="F193" s="21" t="inlineStr">
        <is>
          <t>Anvar qizi</t>
        </is>
      </c>
      <c r="G193" s="21">
        <f>Таблица1[[#This Row],[Familiyasi]]&amp;" "&amp;Таблица1[[#This Row],[Ismi]]&amp;" "&amp;Таблица1[[#This Row],[Otasining ismi]]</f>
        <v/>
      </c>
      <c r="H193" s="9" t="inlineStr">
        <is>
          <t>06.07.2008</t>
        </is>
      </c>
      <c r="I193" s="21" t="inlineStr">
        <is>
          <t>ad8393013</t>
        </is>
      </c>
      <c r="J193" s="9" t="inlineStr">
        <is>
          <t>60607085590039</t>
        </is>
      </c>
      <c r="K193" s="21" t="inlineStr">
        <is>
          <t>26.08.2024</t>
        </is>
      </c>
      <c r="L193" s="21" t="inlineStr">
        <is>
          <t>um 03753213</t>
        </is>
      </c>
      <c r="M193" s="21" t="inlineStr">
        <is>
          <t>3-sonli umumiy o'rta ta'lim maktabi</t>
        </is>
      </c>
      <c r="N193" s="21" t="inlineStr">
        <is>
          <t>farmatsiya ishi</t>
        </is>
      </c>
      <c r="O193" s="21" t="inlineStr">
        <is>
          <t>2026</t>
        </is>
      </c>
      <c r="P193" s="9" t="inlineStr">
        <is>
          <t>70</t>
        </is>
      </c>
      <c r="Q193" s="22" t="inlineStr">
        <is>
          <t>axadova azizaxon  n 70.docx</t>
        </is>
      </c>
    </row>
    <row r="194" ht="30" customHeight="1">
      <c r="A194" s="19" t="n">
        <v>46267</v>
      </c>
      <c r="B194" s="28" t="inlineStr">
        <is>
          <t>N</t>
        </is>
      </c>
      <c r="C194" s="10">
        <f>COUNTIF($B$13:B194,B194)</f>
        <v/>
      </c>
      <c r="D194" s="20" t="inlineStr">
        <is>
          <t>Berdiyeva</t>
        </is>
      </c>
      <c r="E194" s="20" t="inlineStr">
        <is>
          <t>Dilnoza</t>
        </is>
      </c>
      <c r="F194" s="21" t="inlineStr">
        <is>
          <t>Ilxom qizi</t>
        </is>
      </c>
      <c r="G194" s="21">
        <f>Таблица1[[#This Row],[Familiyasi]]&amp;" "&amp;Таблица1[[#This Row],[Ismi]]&amp;" "&amp;Таблица1[[#This Row],[Otasining ismi]]</f>
        <v/>
      </c>
      <c r="H194" s="9" t="inlineStr">
        <is>
          <t>14.01.1997</t>
        </is>
      </c>
      <c r="I194" s="21" t="inlineStr">
        <is>
          <t>ae7616233</t>
        </is>
      </c>
      <c r="J194" s="9" t="inlineStr">
        <is>
          <t>41401975730085</t>
        </is>
      </c>
      <c r="K194" s="21" t="inlineStr">
        <is>
          <t>10.06.2026</t>
        </is>
      </c>
      <c r="L194" s="21" t="inlineStr">
        <is>
          <t>k 4167734</t>
        </is>
      </c>
      <c r="M194" s="21" t="inlineStr">
        <is>
          <t>yakkabog axborot texnologiyalari kolleji</t>
        </is>
      </c>
      <c r="N194" s="21" t="inlineStr">
        <is>
          <t>hamshiralik ishi - 3 yillik</t>
        </is>
      </c>
      <c r="O194" s="21" t="inlineStr">
        <is>
          <t>2016</t>
        </is>
      </c>
      <c r="P194" s="9" t="inlineStr">
        <is>
          <t>179</t>
        </is>
      </c>
      <c r="Q194" s="22" t="inlineStr">
        <is>
          <t>berdiyeva dilnoza 179.docx</t>
        </is>
      </c>
    </row>
    <row r="195" ht="30" customHeight="1">
      <c r="A195" s="19" t="n">
        <v>46267</v>
      </c>
      <c r="B195" s="28" t="inlineStr">
        <is>
          <t>N</t>
        </is>
      </c>
      <c r="C195" s="10">
        <f>COUNTIF($B$13:B195,B195)</f>
        <v/>
      </c>
      <c r="D195" s="20" t="inlineStr">
        <is>
          <t>Bobomurodova</t>
        </is>
      </c>
      <c r="E195" s="20" t="inlineStr">
        <is>
          <t>Gulshoda</t>
        </is>
      </c>
      <c r="F195" s="21" t="n"/>
      <c r="G195" s="21">
        <f>Таблица1[[#This Row],[Familiyasi]]&amp;" "&amp;Таблица1[[#This Row],[Ismi]]&amp;" "&amp;Таблица1[[#This Row],[Otasining ismi]]</f>
        <v/>
      </c>
      <c r="H195" s="9" t="inlineStr"/>
      <c r="I195" s="21" t="inlineStr"/>
      <c r="J195" s="9" t="inlineStr"/>
      <c r="K195" s="21" t="inlineStr"/>
      <c r="L195" s="21" t="inlineStr"/>
      <c r="M195" s="21" t="inlineStr"/>
      <c r="N195" s="21" t="inlineStr">
        <is>
          <t>hamshiralik ishi - 3 yillik</t>
        </is>
      </c>
      <c r="O195" s="21" t="inlineStr"/>
      <c r="P195" s="9" t="inlineStr">
        <is>
          <t>58</t>
        </is>
      </c>
      <c r="Q195" s="22" t="inlineStr">
        <is>
          <t>meliqulova hilola 58.docx</t>
        </is>
      </c>
    </row>
    <row r="196" ht="30" customHeight="1">
      <c r="A196" s="19" t="n">
        <v>46267</v>
      </c>
      <c r="B196" s="28" t="inlineStr">
        <is>
          <t>N</t>
        </is>
      </c>
      <c r="C196" s="10">
        <f>COUNTIF($B$13:B196,B196)</f>
        <v/>
      </c>
      <c r="D196" s="20" t="inlineStr">
        <is>
          <t>Boltayeva</t>
        </is>
      </c>
      <c r="E196" s="20" t="inlineStr">
        <is>
          <t>Zarnigor</t>
        </is>
      </c>
      <c r="F196" s="21" t="inlineStr">
        <is>
          <t>Shokir qizi</t>
        </is>
      </c>
      <c r="G196" s="21">
        <f>Таблица1[[#This Row],[Familiyasi]]&amp;" "&amp;Таблица1[[#This Row],[Ismi]]&amp;" "&amp;Таблица1[[#This Row],[Otasining ismi]]</f>
        <v/>
      </c>
      <c r="H196" s="9" t="inlineStr">
        <is>
          <t>16.03.1997</t>
        </is>
      </c>
      <c r="I196" s="21" t="inlineStr">
        <is>
          <t>ab4433395</t>
        </is>
      </c>
      <c r="J196" s="9" t="inlineStr">
        <is>
          <t>41603975590108</t>
        </is>
      </c>
      <c r="K196" s="21" t="inlineStr">
        <is>
          <t>15.07.2016</t>
        </is>
      </c>
      <c r="L196" s="21" t="inlineStr">
        <is>
          <t>k 4170554</t>
        </is>
      </c>
      <c r="M196" s="21" t="inlineStr">
        <is>
          <t>shahrisabz xizmat ko'rsatish kasb-hunar kolleji</t>
        </is>
      </c>
      <c r="N196" s="21" t="inlineStr">
        <is>
          <t>hamshiralik ishi - 3 yillik</t>
        </is>
      </c>
      <c r="O196" s="21" t="inlineStr">
        <is>
          <t>2016</t>
        </is>
      </c>
      <c r="P196" s="9" t="inlineStr">
        <is>
          <t>9</t>
        </is>
      </c>
      <c r="Q196" s="22" t="inlineStr">
        <is>
          <t>boltayeva zarnigor.docx</t>
        </is>
      </c>
    </row>
    <row r="197" ht="30" customHeight="1">
      <c r="A197" s="19" t="n">
        <v>46267</v>
      </c>
      <c r="B197" s="28" t="inlineStr">
        <is>
          <t>N</t>
        </is>
      </c>
      <c r="C197" s="10">
        <f>COUNTIF($B$13:B197,B197)</f>
        <v/>
      </c>
      <c r="D197" s="20" t="inlineStr">
        <is>
          <t>Boynazarova</t>
        </is>
      </c>
      <c r="E197" s="20" t="inlineStr">
        <is>
          <t>Shahrizoda</t>
        </is>
      </c>
      <c r="F197" s="21" t="n"/>
      <c r="G197" s="21">
        <f>Таблица1[[#This Row],[Familiyasi]]&amp;" "&amp;Таблица1[[#This Row],[Ismi]]&amp;" "&amp;Таблица1[[#This Row],[Otasining ismi]]</f>
        <v/>
      </c>
      <c r="H197" s="9" t="inlineStr"/>
      <c r="I197" s="21" t="inlineStr"/>
      <c r="J197" s="9" t="inlineStr"/>
      <c r="K197" s="21" t="inlineStr"/>
      <c r="L197" s="21" t="inlineStr"/>
      <c r="M197" s="21" t="inlineStr"/>
      <c r="N197" s="21" t="inlineStr">
        <is>
          <t>hamshiralik ishi - 3 yillik</t>
        </is>
      </c>
      <c r="O197" s="21" t="inlineStr"/>
      <c r="P197" s="9" t="inlineStr">
        <is>
          <t>124</t>
        </is>
      </c>
      <c r="Q197" s="22" t="inlineStr"/>
    </row>
    <row r="198" ht="30" customHeight="1">
      <c r="A198" s="19" t="n">
        <v>46267</v>
      </c>
      <c r="B198" s="28" t="inlineStr">
        <is>
          <t>N</t>
        </is>
      </c>
      <c r="C198" s="10">
        <f>COUNTIF($B$13:B198,B198)</f>
        <v/>
      </c>
      <c r="D198" s="20" t="inlineStr">
        <is>
          <t>Bozorova</t>
        </is>
      </c>
      <c r="E198" s="20" t="inlineStr">
        <is>
          <t>Diyora</t>
        </is>
      </c>
      <c r="F198" s="21" t="inlineStr">
        <is>
          <t>Sarvar qizi</t>
        </is>
      </c>
      <c r="G198" s="21">
        <f>Таблица1[[#This Row],[Familiyasi]]&amp;" "&amp;Таблица1[[#This Row],[Ismi]]&amp;" "&amp;Таблица1[[#This Row],[Otasining ismi]]</f>
        <v/>
      </c>
      <c r="H198" s="9" t="inlineStr">
        <is>
          <t>31.07.2008</t>
        </is>
      </c>
      <c r="I198" s="21" t="inlineStr">
        <is>
          <t>ae4407068</t>
        </is>
      </c>
      <c r="J198" s="9" t="inlineStr">
        <is>
          <t>63107085590095</t>
        </is>
      </c>
      <c r="K198" s="21" t="inlineStr">
        <is>
          <t>30.09.2025</t>
        </is>
      </c>
      <c r="L198" s="21" t="inlineStr">
        <is>
          <t>um 03753610</t>
        </is>
      </c>
      <c r="M198" s="21" t="inlineStr">
        <is>
          <t>14-sonli umumiy o'rta ta'lim maktabi</t>
        </is>
      </c>
      <c r="N198" s="21" t="inlineStr">
        <is>
          <t>hamshiralik ishi - 3 yillik</t>
        </is>
      </c>
      <c r="O198" s="21" t="inlineStr">
        <is>
          <t>2026</t>
        </is>
      </c>
      <c r="P198" s="9" t="inlineStr">
        <is>
          <t>154</t>
        </is>
      </c>
      <c r="Q198" s="22" t="inlineStr">
        <is>
          <t>bozorova diyora 154.docx</t>
        </is>
      </c>
    </row>
    <row r="199" ht="30" customHeight="1">
      <c r="A199" s="19" t="n">
        <v>46267</v>
      </c>
      <c r="B199" s="28" t="inlineStr">
        <is>
          <t>N</t>
        </is>
      </c>
      <c r="C199" s="10">
        <f>COUNTIF($B$13:B199,B199)</f>
        <v/>
      </c>
      <c r="D199" s="20" t="inlineStr">
        <is>
          <t>Buriyeva</t>
        </is>
      </c>
      <c r="E199" s="20" t="inlineStr">
        <is>
          <t>Mohira</t>
        </is>
      </c>
      <c r="F199" s="21" t="inlineStr">
        <is>
          <t>Abdug'affor qizi</t>
        </is>
      </c>
      <c r="G199" s="21">
        <f>Таблица1[[#This Row],[Familiyasi]]&amp;" "&amp;Таблица1[[#This Row],[Ismi]]&amp;" "&amp;Таблица1[[#This Row],[Otasining ismi]]</f>
        <v/>
      </c>
      <c r="H199" s="9" t="inlineStr">
        <is>
          <t>23.07.2008</t>
        </is>
      </c>
      <c r="I199" s="21" t="inlineStr">
        <is>
          <t>ae6024174</t>
        </is>
      </c>
      <c r="J199" s="9" t="inlineStr">
        <is>
          <t>62307085630055</t>
        </is>
      </c>
      <c r="K199" s="21" t="inlineStr">
        <is>
          <t>24.01.2026</t>
        </is>
      </c>
      <c r="L199" s="21" t="inlineStr">
        <is>
          <t>um 03739587</t>
        </is>
      </c>
      <c r="M199" s="21" t="inlineStr">
        <is>
          <t>2-sonli umumiy o'rta ta'lim maktabi</t>
        </is>
      </c>
      <c r="N199" s="21" t="inlineStr">
        <is>
          <t>hamshiralik ishi - 2 yillik</t>
        </is>
      </c>
      <c r="O199" s="21" t="inlineStr">
        <is>
          <t>2026</t>
        </is>
      </c>
      <c r="P199" s="9" t="inlineStr">
        <is>
          <t>31</t>
        </is>
      </c>
      <c r="Q199" s="22" t="inlineStr">
        <is>
          <t>buriyeva mohira 31.docx</t>
        </is>
      </c>
    </row>
    <row r="200" ht="30" customHeight="1">
      <c r="A200" s="19" t="n">
        <v>46267</v>
      </c>
      <c r="B200" s="28" t="inlineStr">
        <is>
          <t>N</t>
        </is>
      </c>
      <c r="C200" s="10">
        <f>COUNTIF($B$13:B200,B200)</f>
        <v/>
      </c>
      <c r="D200" s="20" t="inlineStr">
        <is>
          <t>Chuliyeva</t>
        </is>
      </c>
      <c r="E200" s="20" t="inlineStr">
        <is>
          <t>Jasmina</t>
        </is>
      </c>
      <c r="F200" s="21" t="inlineStr">
        <is>
          <t>Norpulat qizi</t>
        </is>
      </c>
      <c r="G200" s="21">
        <f>Таблица1[[#This Row],[Familiyasi]]&amp;" "&amp;Таблица1[[#This Row],[Ismi]]&amp;" "&amp;Таблица1[[#This Row],[Otasining ismi]]</f>
        <v/>
      </c>
      <c r="H200" s="9" t="inlineStr">
        <is>
          <t>08.09.2008</t>
        </is>
      </c>
      <c r="I200" s="21" t="inlineStr">
        <is>
          <t>ae2626889</t>
        </is>
      </c>
      <c r="J200" s="9" t="inlineStr">
        <is>
          <t>60809085590028</t>
        </is>
      </c>
      <c r="K200" s="21" t="inlineStr">
        <is>
          <t>12.05.2025</t>
        </is>
      </c>
      <c r="L200" s="21" t="inlineStr">
        <is>
          <t>um 03757947</t>
        </is>
      </c>
      <c r="M200" s="21" t="inlineStr">
        <is>
          <t>66-sonli umumiy o'rta ta'lim maktabi</t>
        </is>
      </c>
      <c r="N200" s="21" t="inlineStr">
        <is>
          <t>hamshiralik ishi - 3 yillik</t>
        </is>
      </c>
      <c r="O200" s="21" t="inlineStr">
        <is>
          <t>2026</t>
        </is>
      </c>
      <c r="P200" s="9" t="inlineStr">
        <is>
          <t>77</t>
        </is>
      </c>
      <c r="Q200" s="22" t="inlineStr">
        <is>
          <t>chuliyeva jasmina 77.docx</t>
        </is>
      </c>
    </row>
    <row r="201" ht="30" customHeight="1">
      <c r="A201" s="19" t="n">
        <v>46267</v>
      </c>
      <c r="B201" s="28" t="inlineStr">
        <is>
          <t>N</t>
        </is>
      </c>
      <c r="C201" s="10">
        <f>COUNTIF($B$13:B201,B201)</f>
        <v/>
      </c>
      <c r="D201" s="20" t="inlineStr">
        <is>
          <t>Dilmurodova</t>
        </is>
      </c>
      <c r="E201" s="20" t="inlineStr">
        <is>
          <t>Sevinch</t>
        </is>
      </c>
      <c r="F201" s="21" t="n"/>
      <c r="G201" s="21">
        <f>Таблица1[[#This Row],[Familiyasi]]&amp;" "&amp;Таблица1[[#This Row],[Ismi]]&amp;" "&amp;Таблица1[[#This Row],[Otasining ismi]]</f>
        <v/>
      </c>
      <c r="H201" s="9" t="inlineStr"/>
      <c r="I201" s="21" t="inlineStr"/>
      <c r="J201" s="9" t="inlineStr"/>
      <c r="K201" s="21" t="inlineStr"/>
      <c r="L201" s="21" t="inlineStr"/>
      <c r="M201" s="21" t="inlineStr"/>
      <c r="N201" s="21" t="inlineStr">
        <is>
          <t>hamshiralik ishi - 3 yillik</t>
        </is>
      </c>
      <c r="O201" s="21" t="inlineStr"/>
      <c r="P201" s="9" t="inlineStr">
        <is>
          <t>104</t>
        </is>
      </c>
      <c r="Q201" s="22" t="inlineStr"/>
    </row>
    <row r="202" ht="30" customHeight="1">
      <c r="A202" s="19" t="n">
        <v>46267</v>
      </c>
      <c r="B202" s="28" t="inlineStr">
        <is>
          <t>N</t>
        </is>
      </c>
      <c r="C202" s="10">
        <f>COUNTIF($B$13:B202,B202)</f>
        <v/>
      </c>
      <c r="D202" s="20" t="inlineStr">
        <is>
          <t>Do'smamatova</t>
        </is>
      </c>
      <c r="E202" s="20" t="inlineStr">
        <is>
          <t>Hosila</t>
        </is>
      </c>
      <c r="F202" s="21" t="inlineStr">
        <is>
          <t>Fayzullo qizi</t>
        </is>
      </c>
      <c r="G202" s="21">
        <f>Таблица1[[#This Row],[Familiyasi]]&amp;" "&amp;Таблица1[[#This Row],[Ismi]]&amp;" "&amp;Таблица1[[#This Row],[Otasining ismi]]</f>
        <v/>
      </c>
      <c r="H202" s="9" t="n"/>
      <c r="I202" s="21" t="n"/>
      <c r="J202" s="9" t="n"/>
      <c r="K202" s="21" t="n"/>
      <c r="L202" s="21" t="n"/>
      <c r="M202" s="21" t="n"/>
      <c r="N202" s="21" t="n"/>
      <c r="O202" s="21" t="n"/>
      <c r="P202" s="9" t="n"/>
      <c r="Q202" s="22" t="n"/>
    </row>
    <row r="203" ht="30" customHeight="1">
      <c r="A203" s="19" t="n">
        <v>46267</v>
      </c>
      <c r="B203" s="28" t="inlineStr">
        <is>
          <t>N</t>
        </is>
      </c>
      <c r="C203" s="10">
        <f>COUNTIF($B$13:B203,B203)</f>
        <v/>
      </c>
      <c r="D203" s="20" t="inlineStr">
        <is>
          <t>Elmurodova</t>
        </is>
      </c>
      <c r="E203" s="20" t="inlineStr">
        <is>
          <t>Hadicha</t>
        </is>
      </c>
      <c r="F203" s="21" t="n"/>
      <c r="G203" s="21">
        <f>Таблица1[[#This Row],[Familiyasi]]&amp;" "&amp;Таблица1[[#This Row],[Ismi]]&amp;" "&amp;Таблица1[[#This Row],[Otasining ismi]]</f>
        <v/>
      </c>
      <c r="H203" s="9" t="inlineStr"/>
      <c r="I203" s="21" t="inlineStr"/>
      <c r="J203" s="9" t="inlineStr"/>
      <c r="K203" s="21" t="inlineStr"/>
      <c r="L203" s="21" t="inlineStr"/>
      <c r="M203" s="21" t="inlineStr"/>
      <c r="N203" s="21" t="inlineStr">
        <is>
          <t>hamshiralik ishi - 3 yillik</t>
        </is>
      </c>
      <c r="O203" s="21" t="inlineStr"/>
      <c r="P203" s="9" t="inlineStr">
        <is>
          <t>130</t>
        </is>
      </c>
      <c r="Q203" s="22" t="inlineStr"/>
    </row>
    <row r="204" ht="30" customHeight="1">
      <c r="A204" s="19" t="n">
        <v>46267</v>
      </c>
      <c r="B204" s="28" t="inlineStr">
        <is>
          <t>N</t>
        </is>
      </c>
      <c r="C204" s="10">
        <f>COUNTIF($B$13:B204,B204)</f>
        <v/>
      </c>
      <c r="D204" s="20" t="inlineStr">
        <is>
          <t>Ergasheva</t>
        </is>
      </c>
      <c r="E204" s="20" t="inlineStr">
        <is>
          <t>Bibisora</t>
        </is>
      </c>
      <c r="F204" s="21" t="inlineStr">
        <is>
          <t>Tolib qizi</t>
        </is>
      </c>
      <c r="G204" s="21">
        <f>Таблица1[[#This Row],[Familiyasi]]&amp;" "&amp;Таблица1[[#This Row],[Ismi]]&amp;" "&amp;Таблица1[[#This Row],[Otasining ismi]]</f>
        <v/>
      </c>
      <c r="H204" s="9" t="inlineStr">
        <is>
          <t>27.01.2009</t>
        </is>
      </c>
      <c r="I204" s="21" t="inlineStr">
        <is>
          <t>ae5215653</t>
        </is>
      </c>
      <c r="J204" s="9" t="inlineStr">
        <is>
          <t>62701095590028</t>
        </is>
      </c>
      <c r="K204" s="21" t="inlineStr">
        <is>
          <t>27.11.2025</t>
        </is>
      </c>
      <c r="L204" s="21" t="inlineStr">
        <is>
          <t>um 03755770</t>
        </is>
      </c>
      <c r="M204" s="21" t="inlineStr">
        <is>
          <t>82-sonli umumiy o'rta ta'lim maktabi</t>
        </is>
      </c>
      <c r="N204" s="21" t="inlineStr">
        <is>
          <t>hamshiralik ishi - 3 yillik</t>
        </is>
      </c>
      <c r="O204" s="21" t="inlineStr">
        <is>
          <t>2026</t>
        </is>
      </c>
      <c r="P204" s="9" t="inlineStr">
        <is>
          <t>82</t>
        </is>
      </c>
      <c r="Q204" s="22" t="inlineStr">
        <is>
          <t>ergasheva bibisora 82.docx</t>
        </is>
      </c>
    </row>
    <row r="205" ht="30" customHeight="1">
      <c r="A205" s="19" t="n">
        <v>46267</v>
      </c>
      <c r="B205" s="28" t="inlineStr">
        <is>
          <t>N</t>
        </is>
      </c>
      <c r="C205" s="10">
        <f>COUNTIF($B$13:B205,B205)</f>
        <v/>
      </c>
      <c r="D205" s="20" t="inlineStr">
        <is>
          <t>Ergashova</t>
        </is>
      </c>
      <c r="E205" s="20" t="inlineStr">
        <is>
          <t>Sayyora</t>
        </is>
      </c>
      <c r="F205" s="21" t="inlineStr">
        <is>
          <t>Bahodir qizi</t>
        </is>
      </c>
      <c r="G205" s="21">
        <f>Таблица1[[#This Row],[Familiyasi]]&amp;" "&amp;Таблица1[[#This Row],[Ismi]]&amp;" "&amp;Таблица1[[#This Row],[Otasining ismi]]</f>
        <v/>
      </c>
      <c r="H205" s="9" t="inlineStr">
        <is>
          <t>14.11.2006</t>
        </is>
      </c>
      <c r="I205" s="21" t="inlineStr">
        <is>
          <t>ad2123926</t>
        </is>
      </c>
      <c r="J205" s="9" t="inlineStr">
        <is>
          <t>61411065590105</t>
        </is>
      </c>
      <c r="K205" s="21" t="inlineStr">
        <is>
          <t>21.02.2023</t>
        </is>
      </c>
      <c r="L205" s="21" t="inlineStr">
        <is>
          <t>um 01922893</t>
        </is>
      </c>
      <c r="M205" s="21" t="inlineStr">
        <is>
          <t>20-sonli umumiy o'rta ta'lim maktabi</t>
        </is>
      </c>
      <c r="N205" s="21" t="inlineStr">
        <is>
          <t>hamshiralik ishi - 3 yillik</t>
        </is>
      </c>
      <c r="O205" s="21" t="inlineStr">
        <is>
          <t>2023</t>
        </is>
      </c>
      <c r="P205" s="9" t="inlineStr">
        <is>
          <t>41</t>
        </is>
      </c>
      <c r="Q205" s="22" t="inlineStr">
        <is>
          <t>ergasheva sayyora 41.docx</t>
        </is>
      </c>
    </row>
    <row r="206" ht="30" customHeight="1">
      <c r="A206" s="19" t="n">
        <v>46267</v>
      </c>
      <c r="B206" s="28" t="inlineStr">
        <is>
          <t>N</t>
        </is>
      </c>
      <c r="C206" s="10">
        <f>COUNTIF($B$13:B206,B206)</f>
        <v/>
      </c>
      <c r="D206" s="20" t="inlineStr">
        <is>
          <t>Eshimova</t>
        </is>
      </c>
      <c r="E206" s="20" t="inlineStr">
        <is>
          <t>Ruxshona</t>
        </is>
      </c>
      <c r="F206" s="21" t="inlineStr">
        <is>
          <t>Mamatqobil qizi</t>
        </is>
      </c>
      <c r="G206" s="21">
        <f>Таблица1[[#This Row],[Familiyasi]]&amp;" "&amp;Таблица1[[#This Row],[Ismi]]&amp;" "&amp;Таблица1[[#This Row],[Otasining ismi]]</f>
        <v/>
      </c>
      <c r="H206" s="9" t="inlineStr">
        <is>
          <t>07.08.2007</t>
        </is>
      </c>
      <c r="I206" s="21" t="inlineStr">
        <is>
          <t>ae7186970</t>
        </is>
      </c>
      <c r="J206" s="9" t="inlineStr">
        <is>
          <t>60708075680054</t>
        </is>
      </c>
      <c r="K206" s="21" t="inlineStr">
        <is>
          <t>27.04.2026</t>
        </is>
      </c>
      <c r="L206" s="21" t="inlineStr">
        <is>
          <t>um 03730817</t>
        </is>
      </c>
      <c r="M206" s="21" t="inlineStr">
        <is>
          <t>92-sonli umumiy o'rta ta'lim maktabi</t>
        </is>
      </c>
      <c r="N206" s="21" t="inlineStr">
        <is>
          <t>hamshiralik ishi - 3 yillik</t>
        </is>
      </c>
      <c r="O206" s="21" t="inlineStr">
        <is>
          <t>2026</t>
        </is>
      </c>
      <c r="P206" s="9" t="inlineStr">
        <is>
          <t>49</t>
        </is>
      </c>
      <c r="Q206" s="22" t="inlineStr">
        <is>
          <t>eshimova ruhshona 49.docx</t>
        </is>
      </c>
    </row>
    <row r="207" ht="30" customHeight="1">
      <c r="A207" s="19" t="n">
        <v>46267</v>
      </c>
      <c r="B207" s="28" t="inlineStr">
        <is>
          <t>N</t>
        </is>
      </c>
      <c r="C207" s="10">
        <f>COUNTIF($B$13:B207,B207)</f>
        <v/>
      </c>
      <c r="D207" s="20" t="inlineStr">
        <is>
          <t>Fazliddinova</t>
        </is>
      </c>
      <c r="E207" s="20" t="inlineStr">
        <is>
          <t>Sabina</t>
        </is>
      </c>
      <c r="F207" s="21" t="inlineStr">
        <is>
          <t>Alisher qizi</t>
        </is>
      </c>
      <c r="G207" s="21">
        <f>Таблица1[[#This Row],[Familiyasi]]&amp;" "&amp;Таблица1[[#This Row],[Ismi]]&amp;" "&amp;Таблица1[[#This Row],[Otasining ismi]]</f>
        <v/>
      </c>
      <c r="H207" s="9" t="inlineStr">
        <is>
          <t>05.12.2007</t>
        </is>
      </c>
      <c r="I207" s="21" t="inlineStr">
        <is>
          <t>ad7792857</t>
        </is>
      </c>
      <c r="J207" s="9" t="inlineStr">
        <is>
          <t>60512075590028</t>
        </is>
      </c>
      <c r="K207" s="21" t="inlineStr">
        <is>
          <t>12.12.2024</t>
        </is>
      </c>
      <c r="L207" s="21" t="inlineStr">
        <is>
          <t>um 03295552</t>
        </is>
      </c>
      <c r="M207" s="21" t="inlineStr">
        <is>
          <t>3-sonli umumiy o'rta ta'lim maktabi</t>
        </is>
      </c>
      <c r="N207" s="21" t="inlineStr">
        <is>
          <t>hamshiralik ishi - 3 yillik</t>
        </is>
      </c>
      <c r="O207" s="21" t="inlineStr">
        <is>
          <t>2025</t>
        </is>
      </c>
      <c r="P207" s="9" t="inlineStr">
        <is>
          <t>76</t>
        </is>
      </c>
      <c r="Q207" s="22" t="inlineStr">
        <is>
          <t>fazliddinova sabina  76.docx</t>
        </is>
      </c>
    </row>
    <row r="208" ht="30" customHeight="1">
      <c r="A208" s="19" t="n">
        <v>46267</v>
      </c>
      <c r="B208" s="28" t="inlineStr">
        <is>
          <t>N</t>
        </is>
      </c>
      <c r="C208" s="10">
        <f>COUNTIF($B$13:B208,B208)</f>
        <v/>
      </c>
      <c r="D208" s="20" t="inlineStr">
        <is>
          <t>G'afforova</t>
        </is>
      </c>
      <c r="E208" s="20" t="inlineStr">
        <is>
          <t>Sug'diyona</t>
        </is>
      </c>
      <c r="F208" s="21" t="inlineStr">
        <is>
          <t>Xusniddin qizi</t>
        </is>
      </c>
      <c r="G208" s="21">
        <f>Таблица1[[#This Row],[Familiyasi]]&amp;" "&amp;Таблица1[[#This Row],[Ismi]]&amp;" "&amp;Таблица1[[#This Row],[Otasining ismi]]</f>
        <v/>
      </c>
      <c r="H208" s="9" t="inlineStr">
        <is>
          <t>18.04.2008</t>
        </is>
      </c>
      <c r="I208" s="21" t="inlineStr">
        <is>
          <t>ae4838562</t>
        </is>
      </c>
      <c r="J208" s="9" t="inlineStr">
        <is>
          <t>61804085730028</t>
        </is>
      </c>
      <c r="K208" s="21" t="inlineStr">
        <is>
          <t>31.10.2025</t>
        </is>
      </c>
      <c r="L208" s="21" t="inlineStr">
        <is>
          <t>um 03756587</t>
        </is>
      </c>
      <c r="M208" s="21" t="inlineStr">
        <is>
          <t>22-sonli umumiy o'rta ta'lim maktabi</t>
        </is>
      </c>
      <c r="N208" s="21" t="inlineStr">
        <is>
          <t>hamshiralik ishi - 3 yillik</t>
        </is>
      </c>
      <c r="O208" s="21" t="inlineStr">
        <is>
          <t>2026</t>
        </is>
      </c>
      <c r="P208" s="9" t="inlineStr">
        <is>
          <t>149</t>
        </is>
      </c>
      <c r="Q208" s="22" t="inlineStr">
        <is>
          <t>g'afforova sug'diyona 149.docx</t>
        </is>
      </c>
    </row>
    <row r="209" ht="30" customHeight="1">
      <c r="A209" s="19" t="n">
        <v>46267</v>
      </c>
      <c r="B209" s="28" t="inlineStr">
        <is>
          <t>N</t>
        </is>
      </c>
      <c r="C209" s="10">
        <f>COUNTIF($B$13:B209,B209)</f>
        <v/>
      </c>
      <c r="D209" s="20" t="inlineStr">
        <is>
          <t>Hamdamov</t>
        </is>
      </c>
      <c r="E209" s="20" t="inlineStr">
        <is>
          <t>Shahzod</t>
        </is>
      </c>
      <c r="F209" s="21" t="n"/>
      <c r="G209" s="21">
        <f>Таблица1[[#This Row],[Familiyasi]]&amp;" "&amp;Таблица1[[#This Row],[Ismi]]&amp;" "&amp;Таблица1[[#This Row],[Otasining ismi]]</f>
        <v/>
      </c>
      <c r="H209" s="9" t="inlineStr"/>
      <c r="I209" s="21" t="inlineStr"/>
      <c r="J209" s="9" t="inlineStr"/>
      <c r="K209" s="21" t="inlineStr"/>
      <c r="L209" s="21" t="inlineStr"/>
      <c r="M209" s="21" t="inlineStr"/>
      <c r="N209" s="21" t="inlineStr">
        <is>
          <t>hamshiralik ishi - 3 yillik</t>
        </is>
      </c>
      <c r="O209" s="21" t="inlineStr"/>
      <c r="P209" s="9" t="inlineStr">
        <is>
          <t>216</t>
        </is>
      </c>
      <c r="Q209" s="22" t="inlineStr">
        <is>
          <t>hamdamov shahzod 216.docx</t>
        </is>
      </c>
    </row>
    <row r="210" ht="30" customHeight="1">
      <c r="A210" s="19" t="n">
        <v>46267</v>
      </c>
      <c r="B210" s="28" t="inlineStr">
        <is>
          <t>N</t>
        </is>
      </c>
      <c r="C210" s="10">
        <f>COUNTIF($B$13:B210,B210)</f>
        <v/>
      </c>
      <c r="D210" s="20" t="inlineStr">
        <is>
          <t>Ibodullayeva</t>
        </is>
      </c>
      <c r="E210" s="20" t="inlineStr">
        <is>
          <t>Charos</t>
        </is>
      </c>
      <c r="F210" s="21" t="inlineStr">
        <is>
          <t>Asror qizi</t>
        </is>
      </c>
      <c r="G210" s="21">
        <f>Таблица1[[#This Row],[Familiyasi]]&amp;" "&amp;Таблица1[[#This Row],[Ismi]]&amp;" "&amp;Таблица1[[#This Row],[Otasining ismi]]</f>
        <v/>
      </c>
      <c r="H210" s="9" t="inlineStr">
        <is>
          <t>27.05.2008</t>
        </is>
      </c>
      <c r="I210" s="21" t="inlineStr">
        <is>
          <t>ae2913882</t>
        </is>
      </c>
      <c r="J210" s="9" t="inlineStr">
        <is>
          <t>62705085590061</t>
        </is>
      </c>
      <c r="K210" s="21" t="inlineStr">
        <is>
          <t>19.03.2025</t>
        </is>
      </c>
      <c r="L210" s="21" t="inlineStr">
        <is>
          <t>um 03754900</t>
        </is>
      </c>
      <c r="M210" s="21" t="inlineStr">
        <is>
          <t>qashqadaryo viloyati, shahrisabz tumani 65-sonli umumiy o'rta ta'lim maktabini</t>
        </is>
      </c>
      <c r="N210" s="21" t="inlineStr">
        <is>
          <t>farmatsiya ishi</t>
        </is>
      </c>
      <c r="O210" s="21" t="inlineStr">
        <is>
          <t>2026</t>
        </is>
      </c>
      <c r="P210" s="9" t="inlineStr">
        <is>
          <t>63</t>
        </is>
      </c>
      <c r="Q210" s="22" t="inlineStr">
        <is>
          <t>ibodullayeva charos 63 (2).docx</t>
        </is>
      </c>
    </row>
    <row r="211" ht="30" customHeight="1">
      <c r="A211" s="19" t="n">
        <v>46267</v>
      </c>
      <c r="B211" s="28" t="inlineStr">
        <is>
          <t>N</t>
        </is>
      </c>
      <c r="C211" s="10">
        <f>COUNTIF($B$13:B211,B211)</f>
        <v/>
      </c>
      <c r="D211" s="20" t="inlineStr">
        <is>
          <t>Islomova</t>
        </is>
      </c>
      <c r="E211" s="20" t="inlineStr">
        <is>
          <t>Dilobar</t>
        </is>
      </c>
      <c r="F211" s="21" t="inlineStr">
        <is>
          <t>Rahiddin qizi</t>
        </is>
      </c>
      <c r="G211" s="21">
        <f>Таблица1[[#This Row],[Familiyasi]]&amp;" "&amp;Таблица1[[#This Row],[Ismi]]&amp;" "&amp;Таблица1[[#This Row],[Otasining ismi]]</f>
        <v/>
      </c>
      <c r="H211" s="9" t="inlineStr">
        <is>
          <t>20.07.2008</t>
        </is>
      </c>
      <c r="I211" s="21" t="inlineStr">
        <is>
          <t>ae2357478</t>
        </is>
      </c>
      <c r="J211" s="9" t="inlineStr">
        <is>
          <t>62007085590084</t>
        </is>
      </c>
      <c r="K211" s="21" t="inlineStr">
        <is>
          <t>16.04.2025</t>
        </is>
      </c>
      <c r="L211" s="21" t="inlineStr">
        <is>
          <t>um 03753243</t>
        </is>
      </c>
      <c r="M211" s="21" t="inlineStr">
        <is>
          <t>4-sonli umumiy o'rta ta'lim maktabi</t>
        </is>
      </c>
      <c r="N211" s="21" t="inlineStr">
        <is>
          <t>farmatsiya ishi</t>
        </is>
      </c>
      <c r="O211" s="21" t="inlineStr">
        <is>
          <t>2026</t>
        </is>
      </c>
      <c r="P211" s="9" t="inlineStr">
        <is>
          <t>198</t>
        </is>
      </c>
      <c r="Q211" s="22" t="inlineStr">
        <is>
          <t>islomova dilobar 198.docx</t>
        </is>
      </c>
    </row>
    <row r="212" ht="30" customHeight="1">
      <c r="A212" s="19" t="n">
        <v>46267</v>
      </c>
      <c r="B212" s="28" t="inlineStr">
        <is>
          <t>N</t>
        </is>
      </c>
      <c r="C212" s="10">
        <f>COUNTIF($B$13:B212,B212)</f>
        <v/>
      </c>
      <c r="D212" s="20" t="inlineStr">
        <is>
          <t>Islomova</t>
        </is>
      </c>
      <c r="E212" s="20" t="inlineStr">
        <is>
          <t>Nilufar</t>
        </is>
      </c>
      <c r="F212" s="21" t="inlineStr">
        <is>
          <t>Qulmurod qizi</t>
        </is>
      </c>
      <c r="G212" s="21">
        <f>Таблица1[[#This Row],[Familiyasi]]&amp;" "&amp;Таблица1[[#This Row],[Ismi]]&amp;" "&amp;Таблица1[[#This Row],[Otasining ismi]]</f>
        <v/>
      </c>
      <c r="H212" s="9" t="inlineStr">
        <is>
          <t>24.11.2007</t>
        </is>
      </c>
      <c r="I212" s="21" t="inlineStr">
        <is>
          <t>ae3524715</t>
        </is>
      </c>
      <c r="J212" s="9" t="inlineStr">
        <is>
          <t>62411075720014</t>
        </is>
      </c>
      <c r="K212" s="21" t="inlineStr">
        <is>
          <t>25.07.2025</t>
        </is>
      </c>
      <c r="L212" s="21" t="inlineStr">
        <is>
          <t>um 03719410</t>
        </is>
      </c>
      <c r="M212" s="21" t="inlineStr">
        <is>
          <t>78-sonli umumiy o'rta ta'lim maktabi</t>
        </is>
      </c>
      <c r="N212" s="21" t="inlineStr">
        <is>
          <t>hamshiralik ishi - 3 yillik</t>
        </is>
      </c>
      <c r="O212" s="21" t="inlineStr">
        <is>
          <t>2026</t>
        </is>
      </c>
      <c r="P212" s="9" t="inlineStr">
        <is>
          <t>190</t>
        </is>
      </c>
      <c r="Q212" s="22" t="inlineStr">
        <is>
          <t>usmonova nilufar 190.docx</t>
        </is>
      </c>
    </row>
    <row r="213" ht="30" customHeight="1">
      <c r="A213" s="19" t="n">
        <v>46267</v>
      </c>
      <c r="B213" s="28" t="inlineStr">
        <is>
          <t>N</t>
        </is>
      </c>
      <c r="C213" s="10">
        <f>COUNTIF($B$13:B213,B213)</f>
        <v/>
      </c>
      <c r="D213" s="20" t="inlineStr">
        <is>
          <t>Izzatullayeva</t>
        </is>
      </c>
      <c r="E213" s="20" t="inlineStr">
        <is>
          <t>Vazira</t>
        </is>
      </c>
      <c r="F213" s="21" t="inlineStr">
        <is>
          <t>G'ayratzoda</t>
        </is>
      </c>
      <c r="G213" s="31">
        <f>Таблица1[[#This Row],[Familiyasi]]&amp;" "&amp;Таблица1[[#This Row],[Ismi]]&amp;" "&amp;Таблица1[[#This Row],[Otasining ismi]]</f>
        <v/>
      </c>
      <c r="H213" s="9" t="inlineStr">
        <is>
          <t>20.04.1997</t>
        </is>
      </c>
      <c r="I213" s="21" t="inlineStr">
        <is>
          <t>ae5671026</t>
        </is>
      </c>
      <c r="J213" s="9" t="inlineStr">
        <is>
          <t>42004975680094</t>
        </is>
      </c>
      <c r="K213" s="21" t="inlineStr">
        <is>
          <t>05.01.2026</t>
        </is>
      </c>
      <c r="L213" s="21" t="inlineStr">
        <is>
          <t>k 4174595</t>
        </is>
      </c>
      <c r="M213" s="21" t="inlineStr">
        <is>
          <t>kitob agrobiznes kasb-hunar kolleji</t>
        </is>
      </c>
      <c r="N213" s="21" t="inlineStr">
        <is>
          <t>hamshiralik ishi - 2 yillik</t>
        </is>
      </c>
      <c r="O213" s="21" t="inlineStr">
        <is>
          <t>2016</t>
        </is>
      </c>
      <c r="P213" s="9" t="inlineStr">
        <is>
          <t>383</t>
        </is>
      </c>
      <c r="Q213" s="22" t="inlineStr">
        <is>
          <t>izatullayeva vazira 383.docx</t>
        </is>
      </c>
    </row>
    <row r="214" ht="30" customHeight="1">
      <c r="A214" s="19" t="n">
        <v>46267</v>
      </c>
      <c r="B214" s="28" t="inlineStr">
        <is>
          <t>N</t>
        </is>
      </c>
      <c r="C214" s="10">
        <f>COUNTIF($B$13:B214,B214)</f>
        <v/>
      </c>
      <c r="D214" s="20" t="inlineStr">
        <is>
          <t>Jumanova</t>
        </is>
      </c>
      <c r="E214" s="20" t="inlineStr">
        <is>
          <t>Jasmina</t>
        </is>
      </c>
      <c r="F214" s="21" t="n"/>
      <c r="G214" s="21">
        <f>Таблица1[[#This Row],[Familiyasi]]&amp;" "&amp;Таблица1[[#This Row],[Ismi]]&amp;" "&amp;Таблица1[[#This Row],[Otasining ismi]]</f>
        <v/>
      </c>
      <c r="H214" s="9" t="inlineStr"/>
      <c r="I214" s="21" t="inlineStr"/>
      <c r="J214" s="9" t="inlineStr"/>
      <c r="K214" s="21" t="inlineStr"/>
      <c r="L214" s="21" t="inlineStr"/>
      <c r="M214" s="21" t="inlineStr"/>
      <c r="N214" s="21" t="inlineStr">
        <is>
          <t>hamshiralik ishi - 3 yillik</t>
        </is>
      </c>
      <c r="O214" s="21" t="inlineStr"/>
      <c r="P214" s="9" t="inlineStr">
        <is>
          <t>133</t>
        </is>
      </c>
      <c r="Q214" s="22" t="inlineStr"/>
    </row>
    <row r="215" ht="30" customHeight="1">
      <c r="A215" s="19" t="n">
        <v>46267</v>
      </c>
      <c r="B215" s="28" t="inlineStr">
        <is>
          <t>N</t>
        </is>
      </c>
      <c r="C215" s="10">
        <f>COUNTIF($B$13:B215,B215)</f>
        <v/>
      </c>
      <c r="D215" s="20" t="inlineStr">
        <is>
          <t>Karamova</t>
        </is>
      </c>
      <c r="E215" s="20" t="inlineStr">
        <is>
          <t>Dilroz</t>
        </is>
      </c>
      <c r="F215" s="21" t="inlineStr">
        <is>
          <t>Xalilovna</t>
        </is>
      </c>
      <c r="G215" s="21">
        <f>Таблица1[[#This Row],[Familiyasi]]&amp;" "&amp;Таблица1[[#This Row],[Ismi]]&amp;" "&amp;Таблица1[[#This Row],[Otasining ismi]]</f>
        <v/>
      </c>
      <c r="H215" s="9" t="inlineStr">
        <is>
          <t>25.02.2005</t>
        </is>
      </c>
      <c r="I215" s="21" t="inlineStr">
        <is>
          <t>ad2021516</t>
        </is>
      </c>
      <c r="J215" s="9" t="inlineStr">
        <is>
          <t>62502055590038</t>
        </is>
      </c>
      <c r="K215" s="21" t="inlineStr">
        <is>
          <t>16.02.2021</t>
        </is>
      </c>
      <c r="L215" s="21" t="inlineStr">
        <is>
          <t>um 01924445</t>
        </is>
      </c>
      <c r="M215" s="21" t="inlineStr">
        <is>
          <t>44-sonli umumiy o'rta ta'lim maktabi</t>
        </is>
      </c>
      <c r="N215" s="21" t="inlineStr">
        <is>
          <t>hamshiralik ishi - 3 yillik</t>
        </is>
      </c>
      <c r="O215" s="21" t="inlineStr">
        <is>
          <t>2023</t>
        </is>
      </c>
      <c r="P215" s="9" t="inlineStr">
        <is>
          <t>4</t>
        </is>
      </c>
      <c r="Q215" s="22" t="inlineStr">
        <is>
          <t>koramova dilroz 04.docx</t>
        </is>
      </c>
    </row>
    <row r="216" ht="30" customHeight="1">
      <c r="A216" s="19" t="n">
        <v>46267</v>
      </c>
      <c r="B216" s="28" t="inlineStr">
        <is>
          <t>N</t>
        </is>
      </c>
      <c r="C216" s="10">
        <f>COUNTIF($B$13:B216,B216)</f>
        <v/>
      </c>
      <c r="D216" s="20" t="inlineStr">
        <is>
          <t>Karimova</t>
        </is>
      </c>
      <c r="E216" s="20" t="inlineStr">
        <is>
          <t>Dilroz</t>
        </is>
      </c>
      <c r="F216" s="21" t="n"/>
      <c r="G216" s="21">
        <f>Таблица1[[#This Row],[Familiyasi]]&amp;" "&amp;Таблица1[[#This Row],[Ismi]]&amp;" "&amp;Таблица1[[#This Row],[Otasining ismi]]</f>
        <v/>
      </c>
      <c r="H216" s="9" t="n"/>
      <c r="I216" s="21" t="n"/>
      <c r="J216" s="9" t="n"/>
      <c r="K216" s="21" t="n"/>
      <c r="L216" s="21" t="n"/>
      <c r="M216" s="21" t="n"/>
      <c r="N216" s="21" t="n"/>
      <c r="O216" s="21" t="n"/>
      <c r="P216" s="9" t="n"/>
      <c r="Q216" s="22" t="n"/>
    </row>
    <row r="217" ht="30" customHeight="1">
      <c r="A217" s="19" t="n">
        <v>46267</v>
      </c>
      <c r="B217" s="28" t="inlineStr">
        <is>
          <t>N</t>
        </is>
      </c>
      <c r="C217" s="10">
        <f>COUNTIF($B$13:B217,B217)</f>
        <v/>
      </c>
      <c r="D217" s="20" t="inlineStr">
        <is>
          <t>Lapasova</t>
        </is>
      </c>
      <c r="E217" s="20" t="inlineStr">
        <is>
          <t>Gulsanam</t>
        </is>
      </c>
      <c r="F217" s="21" t="inlineStr">
        <is>
          <t>Sirojiddin qizi</t>
        </is>
      </c>
      <c r="G217" s="21">
        <f>Таблица1[[#This Row],[Familiyasi]]&amp;" "&amp;Таблица1[[#This Row],[Ismi]]&amp;" "&amp;Таблица1[[#This Row],[Otasining ismi]]</f>
        <v/>
      </c>
      <c r="H217" s="9" t="inlineStr">
        <is>
          <t>02.05.2006</t>
        </is>
      </c>
      <c r="I217" s="21" t="inlineStr">
        <is>
          <t>ae2137266</t>
        </is>
      </c>
      <c r="J217" s="9" t="inlineStr"/>
      <c r="K217" s="21" t="inlineStr">
        <is>
          <t>01.04.2025</t>
        </is>
      </c>
      <c r="L217" s="21" t="inlineStr">
        <is>
          <t>um 03718487</t>
        </is>
      </c>
      <c r="M217" s="21" t="inlineStr">
        <is>
          <t>43-sonli umumiy o'rta ta'lim maktabi</t>
        </is>
      </c>
      <c r="N217" s="21" t="inlineStr">
        <is>
          <t>hamshiralik ishi - 3 yillik</t>
        </is>
      </c>
      <c r="O217" s="21" t="inlineStr">
        <is>
          <t>2026</t>
        </is>
      </c>
      <c r="P217" s="9" t="inlineStr">
        <is>
          <t>80</t>
        </is>
      </c>
      <c r="Q217" s="22" t="inlineStr">
        <is>
          <t>lapasova gulsanam 80.docx</t>
        </is>
      </c>
    </row>
    <row r="218" ht="30" customHeight="1">
      <c r="A218" s="19" t="n">
        <v>46267</v>
      </c>
      <c r="B218" s="28" t="inlineStr">
        <is>
          <t>N</t>
        </is>
      </c>
      <c r="C218" s="10">
        <f>COUNTIF($B$13:B218,B218)</f>
        <v/>
      </c>
      <c r="D218" s="20" t="inlineStr">
        <is>
          <t>Luqmonova</t>
        </is>
      </c>
      <c r="E218" s="20" t="inlineStr">
        <is>
          <t>Nafisa</t>
        </is>
      </c>
      <c r="F218" s="21" t="n"/>
      <c r="G218" s="21">
        <f>Таблица1[[#This Row],[Familiyasi]]&amp;" "&amp;Таблица1[[#This Row],[Ismi]]&amp;" "&amp;Таблица1[[#This Row],[Otasining ismi]]</f>
        <v/>
      </c>
      <c r="H218" s="9" t="inlineStr"/>
      <c r="I218" s="21" t="inlineStr"/>
      <c r="J218" s="9" t="inlineStr"/>
      <c r="K218" s="21" t="inlineStr"/>
      <c r="L218" s="21" t="inlineStr"/>
      <c r="M218" s="21" t="inlineStr"/>
      <c r="N218" s="21" t="inlineStr">
        <is>
          <t>hamshiralik ishi - 3 yillik</t>
        </is>
      </c>
      <c r="O218" s="21" t="inlineStr"/>
      <c r="P218" s="9" t="inlineStr">
        <is>
          <t>132</t>
        </is>
      </c>
      <c r="Q218" s="22" t="inlineStr"/>
    </row>
    <row r="219" ht="30" customHeight="1">
      <c r="A219" s="19" t="n">
        <v>46267</v>
      </c>
      <c r="B219" s="28" t="inlineStr">
        <is>
          <t>N</t>
        </is>
      </c>
      <c r="C219" s="10">
        <f>COUNTIF($B$13:B219,B219)</f>
        <v/>
      </c>
      <c r="D219" s="20" t="inlineStr">
        <is>
          <t>Lutfullayeva</t>
        </is>
      </c>
      <c r="E219" s="20" t="inlineStr">
        <is>
          <t>Saida</t>
        </is>
      </c>
      <c r="F219" s="21" t="inlineStr">
        <is>
          <t>Abdurasulzoda qizi</t>
        </is>
      </c>
      <c r="G219" s="21">
        <f>Таблица1[[#This Row],[Familiyasi]]&amp;" "&amp;Таблица1[[#This Row],[Ismi]]&amp;" "&amp;Таблица1[[#This Row],[Otasining ismi]]</f>
        <v/>
      </c>
      <c r="H219" s="9" t="inlineStr">
        <is>
          <t>07.12.2008</t>
        </is>
      </c>
      <c r="I219" s="21" t="inlineStr">
        <is>
          <t>ae4731602</t>
        </is>
      </c>
      <c r="J219" s="9" t="inlineStr">
        <is>
          <t>60712085680050</t>
        </is>
      </c>
      <c r="K219" s="21" t="inlineStr">
        <is>
          <t>22.10.2025</t>
        </is>
      </c>
      <c r="L219" s="21" t="inlineStr"/>
      <c r="M219" s="21" t="inlineStr"/>
      <c r="N219" s="21" t="inlineStr">
        <is>
          <t>hamshiralik ishi - 3 yillik</t>
        </is>
      </c>
      <c r="O219" s="21" t="inlineStr"/>
      <c r="P219" s="9" t="inlineStr">
        <is>
          <t>143</t>
        </is>
      </c>
      <c r="Q219" s="22" t="inlineStr">
        <is>
          <t>lutfullayeva saida 143 chala.docx</t>
        </is>
      </c>
    </row>
    <row r="220" ht="30" customHeight="1">
      <c r="A220" s="19" t="n">
        <v>46267</v>
      </c>
      <c r="B220" s="28" t="inlineStr">
        <is>
          <t>N</t>
        </is>
      </c>
      <c r="C220" s="10">
        <f>COUNTIF($B$13:B220,B220)</f>
        <v/>
      </c>
      <c r="D220" s="20" t="inlineStr">
        <is>
          <t>Madatova</t>
        </is>
      </c>
      <c r="E220" s="20" t="inlineStr">
        <is>
          <t>Muxlisa</t>
        </is>
      </c>
      <c r="F220" s="21" t="inlineStr">
        <is>
          <t>Akbarali qizi</t>
        </is>
      </c>
      <c r="G220" s="21">
        <f>Таблица1[[#This Row],[Familiyasi]]&amp;" "&amp;Таблица1[[#This Row],[Ismi]]&amp;" "&amp;Таблица1[[#This Row],[Otasining ismi]]</f>
        <v/>
      </c>
      <c r="H220" s="9" t="inlineStr">
        <is>
          <t>05.02.2008</t>
        </is>
      </c>
      <c r="I220" s="21" t="inlineStr">
        <is>
          <t>ae4552578</t>
        </is>
      </c>
      <c r="J220" s="9" t="inlineStr">
        <is>
          <t>60502085590028</t>
        </is>
      </c>
      <c r="K220" s="21" t="inlineStr">
        <is>
          <t>09.10.2025</t>
        </is>
      </c>
      <c r="L220" s="21" t="inlineStr">
        <is>
          <t>um 03720211</t>
        </is>
      </c>
      <c r="M220" s="21" t="inlineStr">
        <is>
          <t>124-sonli umumiy o'rta ta'lim maktabi</t>
        </is>
      </c>
      <c r="N220" s="21" t="inlineStr">
        <is>
          <t>hamshiralik ishi - 3 yillik</t>
        </is>
      </c>
      <c r="O220" s="21" t="inlineStr">
        <is>
          <t>2026</t>
        </is>
      </c>
      <c r="P220" s="9" t="inlineStr">
        <is>
          <t>191</t>
        </is>
      </c>
      <c r="Q220" s="22" t="inlineStr">
        <is>
          <t>madatova muxlisa 191.docx</t>
        </is>
      </c>
    </row>
    <row r="221" ht="30" customHeight="1">
      <c r="A221" s="19" t="n">
        <v>46267</v>
      </c>
      <c r="B221" s="28" t="inlineStr">
        <is>
          <t>N</t>
        </is>
      </c>
      <c r="C221" s="10">
        <f>COUNTIF($B$13:B221,B221)</f>
        <v/>
      </c>
      <c r="D221" s="20" t="inlineStr">
        <is>
          <t>Mamarajabova</t>
        </is>
      </c>
      <c r="E221" s="20" t="inlineStr">
        <is>
          <t>Yulduz</t>
        </is>
      </c>
      <c r="F221" s="21" t="n"/>
      <c r="G221" s="21">
        <f>Таблица1[[#This Row],[Familiyasi]]&amp;" "&amp;Таблица1[[#This Row],[Ismi]]&amp;" "&amp;Таблица1[[#This Row],[Otasining ismi]]</f>
        <v/>
      </c>
      <c r="H221" s="9" t="inlineStr"/>
      <c r="I221" s="21" t="inlineStr"/>
      <c r="J221" s="9" t="inlineStr"/>
      <c r="K221" s="21" t="inlineStr"/>
      <c r="L221" s="21" t="inlineStr"/>
      <c r="M221" s="21" t="inlineStr"/>
      <c r="N221" s="21" t="inlineStr">
        <is>
          <t>hamshiralik ishi - 3 yillik</t>
        </is>
      </c>
      <c r="O221" s="21" t="inlineStr"/>
      <c r="P221" s="9" t="inlineStr">
        <is>
          <t>23</t>
        </is>
      </c>
      <c r="Q221" s="22" t="inlineStr"/>
    </row>
    <row r="222" ht="30" customHeight="1">
      <c r="A222" s="19" t="n">
        <v>46267</v>
      </c>
      <c r="B222" s="28" t="inlineStr">
        <is>
          <t>N</t>
        </is>
      </c>
      <c r="C222" s="10">
        <f>COUNTIF($B$13:B222,B222)</f>
        <v/>
      </c>
      <c r="D222" s="20" t="inlineStr">
        <is>
          <t>Maxmashukurova</t>
        </is>
      </c>
      <c r="E222" s="20" t="inlineStr">
        <is>
          <t>Jasmina</t>
        </is>
      </c>
      <c r="F222" s="21" t="inlineStr">
        <is>
          <t>Bahodir qizi</t>
        </is>
      </c>
      <c r="G222" s="21">
        <f>Таблица1[[#This Row],[Familiyasi]]&amp;" "&amp;Таблица1[[#This Row],[Ismi]]&amp;" "&amp;Таблица1[[#This Row],[Otasining ismi]]</f>
        <v/>
      </c>
      <c r="H222" s="9" t="inlineStr">
        <is>
          <t>03.01.2008</t>
        </is>
      </c>
      <c r="I222" s="21" t="inlineStr">
        <is>
          <t>ae1218100</t>
        </is>
      </c>
      <c r="J222" s="9" t="inlineStr">
        <is>
          <t>60301085730076</t>
        </is>
      </c>
      <c r="K222" s="21" t="inlineStr">
        <is>
          <t>16.01.2025</t>
        </is>
      </c>
      <c r="L222" s="21" t="inlineStr">
        <is>
          <t>um 03756776</t>
        </is>
      </c>
      <c r="M222" s="21" t="inlineStr">
        <is>
          <t>31-sonli umumiy o'rta ta'lim maktabi</t>
        </is>
      </c>
      <c r="N222" s="21" t="inlineStr">
        <is>
          <t>hamshiralik ishi - 3 yillik</t>
        </is>
      </c>
      <c r="O222" s="21" t="inlineStr">
        <is>
          <t>2026</t>
        </is>
      </c>
      <c r="P222" s="9" t="inlineStr">
        <is>
          <t>189</t>
        </is>
      </c>
      <c r="Q222" s="22" t="inlineStr">
        <is>
          <t>maxmashukurova jasmina 189.docx</t>
        </is>
      </c>
    </row>
    <row r="223" ht="30" customHeight="1">
      <c r="A223" s="19" t="n">
        <v>46267</v>
      </c>
      <c r="B223" s="28" t="inlineStr">
        <is>
          <t>N</t>
        </is>
      </c>
      <c r="C223" s="10">
        <f>COUNTIF($B$13:B223,B223)</f>
        <v/>
      </c>
      <c r="D223" s="20" t="inlineStr">
        <is>
          <t>Mingisheva</t>
        </is>
      </c>
      <c r="E223" s="20" t="inlineStr">
        <is>
          <t>Shoxsanam</t>
        </is>
      </c>
      <c r="F223" s="21" t="inlineStr">
        <is>
          <t>Nurbek qizi</t>
        </is>
      </c>
      <c r="G223" s="21">
        <f>Таблица1[[#This Row],[Familiyasi]]&amp;" "&amp;Таблица1[[#This Row],[Ismi]]&amp;" "&amp;Таблица1[[#This Row],[Otasining ismi]]</f>
        <v/>
      </c>
      <c r="H223" s="9" t="inlineStr">
        <is>
          <t>20.11.1995</t>
        </is>
      </c>
      <c r="I223" s="21" t="inlineStr">
        <is>
          <t>ac3146162</t>
        </is>
      </c>
      <c r="J223" s="9" t="inlineStr">
        <is>
          <t>9511202F30111574201195789001780</t>
        </is>
      </c>
      <c r="K223" s="21" t="inlineStr">
        <is>
          <t>16.11.2020</t>
        </is>
      </c>
      <c r="L223" s="21" t="inlineStr"/>
      <c r="M223" s="21" t="inlineStr"/>
      <c r="N223" s="21" t="inlineStr">
        <is>
          <t>hamshiralik ishi - 3 yillik</t>
        </is>
      </c>
      <c r="O223" s="21" t="inlineStr"/>
      <c r="P223" s="9" t="inlineStr">
        <is>
          <t>389</t>
        </is>
      </c>
      <c r="Q223" s="22" t="inlineStr">
        <is>
          <t>mingishova shoxsanam 389.docx</t>
        </is>
      </c>
    </row>
    <row r="224" ht="30" customHeight="1">
      <c r="A224" s="19" t="n">
        <v>46267</v>
      </c>
      <c r="B224" s="28" t="inlineStr">
        <is>
          <t>N</t>
        </is>
      </c>
      <c r="C224" s="10">
        <f>COUNTIF($B$13:B224,B224)</f>
        <v/>
      </c>
      <c r="D224" s="20" t="inlineStr">
        <is>
          <t>Mirsaidova</t>
        </is>
      </c>
      <c r="E224" s="20" t="inlineStr">
        <is>
          <t>Rayxona</t>
        </is>
      </c>
      <c r="F224" s="21" t="inlineStr">
        <is>
          <t>Nurbek qizi</t>
        </is>
      </c>
      <c r="G224" s="21">
        <f>Таблица1[[#This Row],[Familiyasi]]&amp;" "&amp;Таблица1[[#This Row],[Ismi]]&amp;" "&amp;Таблица1[[#This Row],[Otasining ismi]]</f>
        <v/>
      </c>
      <c r="H224" s="9" t="inlineStr">
        <is>
          <t>03.02.2009</t>
        </is>
      </c>
      <c r="I224" s="21" t="inlineStr">
        <is>
          <t>ae2522814</t>
        </is>
      </c>
      <c r="J224" s="9" t="inlineStr">
        <is>
          <t>60302095590021</t>
        </is>
      </c>
      <c r="K224" s="21" t="inlineStr">
        <is>
          <t>01.05.2025</t>
        </is>
      </c>
      <c r="L224" s="21" t="inlineStr">
        <is>
          <t>um 03752525</t>
        </is>
      </c>
      <c r="M224" s="21" t="inlineStr">
        <is>
          <t>15-sonli umumiy o'rta ta'lim maktabi</t>
        </is>
      </c>
      <c r="N224" s="21" t="inlineStr">
        <is>
          <t>hamshiralik ishi - 3 yillik</t>
        </is>
      </c>
      <c r="O224" s="21" t="inlineStr">
        <is>
          <t>2026</t>
        </is>
      </c>
      <c r="P224" s="9" t="inlineStr">
        <is>
          <t>168</t>
        </is>
      </c>
      <c r="Q224" s="22" t="inlineStr">
        <is>
          <t>mirsaidova rayxona 168.docx</t>
        </is>
      </c>
    </row>
    <row r="225" ht="30" customHeight="1">
      <c r="A225" s="19" t="n">
        <v>46267</v>
      </c>
      <c r="B225" s="28" t="inlineStr">
        <is>
          <t>N</t>
        </is>
      </c>
      <c r="C225" s="10">
        <f>COUNTIF($B$13:B225,B225)</f>
        <v/>
      </c>
      <c r="D225" s="20" t="inlineStr">
        <is>
          <t>Mixliyeva</t>
        </is>
      </c>
      <c r="E225" s="20" t="inlineStr">
        <is>
          <t>Rayxon</t>
        </is>
      </c>
      <c r="F225" s="21" t="inlineStr">
        <is>
          <t>Sherzod qizi</t>
        </is>
      </c>
      <c r="G225" s="21">
        <f>Таблица1[[#This Row],[Familiyasi]]&amp;" "&amp;Таблица1[[#This Row],[Ismi]]&amp;" "&amp;Таблица1[[#This Row],[Otasining ismi]]</f>
        <v/>
      </c>
      <c r="H225" s="9" t="inlineStr">
        <is>
          <t>18.05.2008</t>
        </is>
      </c>
      <c r="I225" s="21" t="inlineStr">
        <is>
          <t>ad9068040</t>
        </is>
      </c>
      <c r="J225" s="9" t="inlineStr">
        <is>
          <t>61805085730069</t>
        </is>
      </c>
      <c r="K225" s="21" t="inlineStr">
        <is>
          <t>18.10.2024</t>
        </is>
      </c>
      <c r="L225" s="21" t="inlineStr">
        <is>
          <t>pt 0025530</t>
        </is>
      </c>
      <c r="M225" s="21" t="inlineStr">
        <is>
          <t>yakkabog' tuman 1-son texnikumi</t>
        </is>
      </c>
      <c r="N225" s="21" t="inlineStr">
        <is>
          <t>feldsherlik ishi</t>
        </is>
      </c>
      <c r="O225" s="21" t="inlineStr">
        <is>
          <t>2026</t>
        </is>
      </c>
      <c r="P225" s="9" t="inlineStr">
        <is>
          <t>114</t>
        </is>
      </c>
      <c r="Q225" s="22" t="inlineStr">
        <is>
          <t>mixliyeva rayxon 114.docx</t>
        </is>
      </c>
    </row>
    <row r="226" ht="30" customHeight="1">
      <c r="A226" s="19" t="n">
        <v>46267</v>
      </c>
      <c r="B226" s="28" t="inlineStr">
        <is>
          <t>N</t>
        </is>
      </c>
      <c r="C226" s="10">
        <f>COUNTIF($B$13:B226,B226)</f>
        <v/>
      </c>
      <c r="D226" s="20" t="inlineStr">
        <is>
          <t>Muminova</t>
        </is>
      </c>
      <c r="E226" s="20" t="inlineStr">
        <is>
          <t>Gulnoza</t>
        </is>
      </c>
      <c r="F226" s="21" t="n"/>
      <c r="G226" s="21">
        <f>Таблица1[[#This Row],[Familiyasi]]&amp;" "&amp;Таблица1[[#This Row],[Ismi]]&amp;" "&amp;Таблица1[[#This Row],[Otasining ismi]]</f>
        <v/>
      </c>
      <c r="H226" s="9" t="inlineStr"/>
      <c r="I226" s="21" t="inlineStr"/>
      <c r="J226" s="9" t="inlineStr"/>
      <c r="K226" s="21" t="inlineStr"/>
      <c r="L226" s="21" t="inlineStr"/>
      <c r="M226" s="21" t="inlineStr"/>
      <c r="N226" s="21" t="inlineStr">
        <is>
          <t>hamshiralik ishi - 3 yillik</t>
        </is>
      </c>
      <c r="O226" s="21" t="inlineStr"/>
      <c r="P226" s="9" t="inlineStr">
        <is>
          <t>134</t>
        </is>
      </c>
      <c r="Q226" s="22" t="inlineStr"/>
    </row>
    <row r="227" ht="30" customHeight="1">
      <c r="A227" s="19" t="n">
        <v>46267</v>
      </c>
      <c r="B227" s="28" t="inlineStr">
        <is>
          <t>N</t>
        </is>
      </c>
      <c r="C227" s="10">
        <f>COUNTIF($B$13:B227,B227)</f>
        <v/>
      </c>
      <c r="D227" s="20" t="inlineStr">
        <is>
          <t>Muratova</t>
        </is>
      </c>
      <c r="E227" s="20" t="inlineStr">
        <is>
          <t>Dilshoda</t>
        </is>
      </c>
      <c r="F227" s="21" t="inlineStr">
        <is>
          <t>Quldoshovna</t>
        </is>
      </c>
      <c r="G227" s="21">
        <f>Таблица1[[#This Row],[Familiyasi]]&amp;" "&amp;Таблица1[[#This Row],[Ismi]]&amp;" "&amp;Таблица1[[#This Row],[Otasining ismi]]</f>
        <v/>
      </c>
      <c r="H227" s="9" t="inlineStr">
        <is>
          <t>13.08.1988</t>
        </is>
      </c>
      <c r="I227" s="21" t="inlineStr">
        <is>
          <t>ad7020966</t>
        </is>
      </c>
      <c r="J227" s="9" t="inlineStr">
        <is>
          <t>41308882560081</t>
        </is>
      </c>
      <c r="K227" s="21" t="inlineStr">
        <is>
          <t>02.05.2024</t>
        </is>
      </c>
      <c r="L227" s="21" t="inlineStr">
        <is>
          <t>k 703133</t>
        </is>
      </c>
      <c r="M227" s="21" t="inlineStr">
        <is>
          <t>shahrisabz xizmat ko'rsatish kasb-hunar kolleji</t>
        </is>
      </c>
      <c r="N227" s="21" t="inlineStr">
        <is>
          <t>hamshiralik ishi</t>
        </is>
      </c>
      <c r="O227" s="21" t="inlineStr">
        <is>
          <t>2007</t>
        </is>
      </c>
      <c r="P227" s="9" t="inlineStr">
        <is>
          <t>374</t>
        </is>
      </c>
      <c r="Q227" s="22" t="inlineStr">
        <is>
          <t>muratova dilshoda   374.docx</t>
        </is>
      </c>
    </row>
    <row r="228" ht="30" customHeight="1">
      <c r="A228" s="19" t="n">
        <v>46267</v>
      </c>
      <c r="B228" s="29" t="inlineStr">
        <is>
          <t>N</t>
        </is>
      </c>
      <c r="C228" s="10">
        <f>COUNTIF($B$13:B228,B228)</f>
        <v/>
      </c>
      <c r="D228" s="24" t="inlineStr">
        <is>
          <t>Murtazayeva</t>
        </is>
      </c>
      <c r="E228" s="24" t="inlineStr">
        <is>
          <t>Kamola</t>
        </is>
      </c>
      <c r="F228" s="25" t="inlineStr">
        <is>
          <t>Jamoliddin qizi</t>
        </is>
      </c>
      <c r="G228" s="25">
        <f>Таблица1[[#This Row],[Familiyasi]]&amp;" "&amp;Таблица1[[#This Row],[Ismi]]&amp;" "&amp;Таблица1[[#This Row],[Otasining ismi]]</f>
        <v/>
      </c>
      <c r="H228" s="11" t="inlineStr">
        <is>
          <t>27.08.1991</t>
        </is>
      </c>
      <c r="I228" s="25" t="inlineStr">
        <is>
          <t>ac1458884</t>
        </is>
      </c>
      <c r="J228" s="11" t="inlineStr">
        <is>
          <t>42708915590028</t>
        </is>
      </c>
      <c r="K228" s="25" t="inlineStr">
        <is>
          <t>04.11.2018</t>
        </is>
      </c>
      <c r="L228" s="25" t="inlineStr">
        <is>
          <t>O'r-Sh 0987579</t>
        </is>
      </c>
      <c r="M228" s="25" t="inlineStr">
        <is>
          <t>ixtisoslashtirilgan maktabi</t>
        </is>
      </c>
      <c r="N228" s="25" t="inlineStr">
        <is>
          <t>hamshiralik ishi - 2 yillik</t>
        </is>
      </c>
      <c r="O228" s="25" t="inlineStr">
        <is>
          <t>2009</t>
        </is>
      </c>
      <c r="P228" s="11" t="inlineStr">
        <is>
          <t>25</t>
        </is>
      </c>
      <c r="Q228" s="26" t="inlineStr">
        <is>
          <t>murtazayeva kamola 25.docx</t>
        </is>
      </c>
    </row>
    <row r="229" ht="30" customHeight="1">
      <c r="A229" s="19" t="n">
        <v>46267</v>
      </c>
      <c r="B229" s="28" t="inlineStr">
        <is>
          <t>N</t>
        </is>
      </c>
      <c r="C229" s="10">
        <f>COUNTIF($B$13:B229,B229)</f>
        <v/>
      </c>
      <c r="D229" s="20" t="inlineStr">
        <is>
          <t>Murtazayeva</t>
        </is>
      </c>
      <c r="E229" s="20" t="inlineStr">
        <is>
          <t>Sabina</t>
        </is>
      </c>
      <c r="F229" s="21" t="inlineStr">
        <is>
          <t>Uvaydulla qizi</t>
        </is>
      </c>
      <c r="G229" s="21">
        <f>Таблица1[[#This Row],[Familiyasi]]&amp;" "&amp;Таблица1[[#This Row],[Ismi]]&amp;" "&amp;Таблица1[[#This Row],[Otasining ismi]]</f>
        <v/>
      </c>
      <c r="H229" s="9" t="inlineStr">
        <is>
          <t>11.09.2008</t>
        </is>
      </c>
      <c r="I229" s="21" t="inlineStr">
        <is>
          <t>ae4703372</t>
        </is>
      </c>
      <c r="J229" s="9" t="inlineStr">
        <is>
          <t>61109085730103</t>
        </is>
      </c>
      <c r="K229" s="21" t="inlineStr">
        <is>
          <t>21.10.2025</t>
        </is>
      </c>
      <c r="L229" s="21" t="inlineStr">
        <is>
          <t>um 03757129</t>
        </is>
      </c>
      <c r="M229" s="21" t="inlineStr">
        <is>
          <t>41-sonli umumiy o'rta ta'lim maktabi</t>
        </is>
      </c>
      <c r="N229" s="21" t="inlineStr">
        <is>
          <t>hamshiralik ishi - 3 yillik</t>
        </is>
      </c>
      <c r="O229" s="21" t="inlineStr">
        <is>
          <t>2026</t>
        </is>
      </c>
      <c r="P229" s="9" t="inlineStr">
        <is>
          <t>225</t>
        </is>
      </c>
      <c r="Q229" s="22" t="inlineStr">
        <is>
          <t>murtazayeva sabina 225.docx</t>
        </is>
      </c>
    </row>
    <row r="230" ht="30" customHeight="1">
      <c r="A230" s="19" t="n">
        <v>46267</v>
      </c>
      <c r="B230" s="28" t="inlineStr">
        <is>
          <t>N</t>
        </is>
      </c>
      <c r="C230" s="10">
        <f>COUNTIF($B$13:B230,B230)</f>
        <v/>
      </c>
      <c r="D230" s="20" t="inlineStr">
        <is>
          <t>Mustafoqulova</t>
        </is>
      </c>
      <c r="E230" s="20" t="inlineStr">
        <is>
          <t>E'zoza</t>
        </is>
      </c>
      <c r="F230" s="21" t="n"/>
      <c r="G230" s="21">
        <f>Таблица1[[#This Row],[Familiyasi]]&amp;" "&amp;Таблица1[[#This Row],[Ismi]]&amp;" "&amp;Таблица1[[#This Row],[Otasining ismi]]</f>
        <v/>
      </c>
      <c r="H230" s="9" t="inlineStr"/>
      <c r="I230" s="21" t="inlineStr"/>
      <c r="J230" s="9" t="inlineStr"/>
      <c r="K230" s="21" t="inlineStr"/>
      <c r="L230" s="21" t="inlineStr"/>
      <c r="M230" s="21" t="inlineStr"/>
      <c r="N230" s="21" t="inlineStr">
        <is>
          <t>hamshiralik ishi - 3 yillik</t>
        </is>
      </c>
      <c r="O230" s="21" t="inlineStr">
        <is>
          <t>2024</t>
        </is>
      </c>
      <c r="P230" s="9" t="inlineStr">
        <is>
          <t>245</t>
        </is>
      </c>
      <c r="Q230" s="22" t="inlineStr"/>
    </row>
    <row r="231" ht="30" customHeight="1">
      <c r="A231" s="19" t="n">
        <v>46267</v>
      </c>
      <c r="B231" s="28" t="inlineStr">
        <is>
          <t>N</t>
        </is>
      </c>
      <c r="C231" s="10">
        <f>COUNTIF($B$13:B231,B231)</f>
        <v/>
      </c>
      <c r="D231" s="20" t="inlineStr">
        <is>
          <t>Musurmonova</t>
        </is>
      </c>
      <c r="E231" s="20" t="inlineStr">
        <is>
          <t>Gulsanam</t>
        </is>
      </c>
      <c r="F231" s="21" t="inlineStr">
        <is>
          <t>Ural qizi</t>
        </is>
      </c>
      <c r="G231" s="21">
        <f>Таблица1[[#This Row],[Familiyasi]]&amp;" "&amp;Таблица1[[#This Row],[Ismi]]&amp;" "&amp;Таблица1[[#This Row],[Otasining ismi]]</f>
        <v/>
      </c>
      <c r="H231" s="9" t="inlineStr">
        <is>
          <t>01.05.2009</t>
        </is>
      </c>
      <c r="I231" s="21" t="inlineStr">
        <is>
          <t>ae3956894</t>
        </is>
      </c>
      <c r="J231" s="9" t="inlineStr">
        <is>
          <t>60105095590080</t>
        </is>
      </c>
      <c r="K231" s="21" t="inlineStr">
        <is>
          <t>28.08.2025</t>
        </is>
      </c>
      <c r="L231" s="21" t="inlineStr">
        <is>
          <t>um 03755314</t>
        </is>
      </c>
      <c r="M231" s="21" t="inlineStr">
        <is>
          <t>60-sonli umumiy o'rta ta'lim maktabi</t>
        </is>
      </c>
      <c r="N231" s="21" t="inlineStr">
        <is>
          <t>hamshiralik ishi - 3 yillik</t>
        </is>
      </c>
      <c r="O231" s="21" t="inlineStr">
        <is>
          <t>2026</t>
        </is>
      </c>
      <c r="P231" s="9" t="inlineStr">
        <is>
          <t>16</t>
        </is>
      </c>
      <c r="Q231" s="22" t="inlineStr">
        <is>
          <t>musurmonova gulsanam 16.docx</t>
        </is>
      </c>
    </row>
    <row r="232" ht="30" customHeight="1">
      <c r="A232" s="19" t="n">
        <v>46267</v>
      </c>
      <c r="B232" s="29" t="inlineStr">
        <is>
          <t>N</t>
        </is>
      </c>
      <c r="C232" s="10">
        <f>COUNTIF($B$13:B232,B232)</f>
        <v/>
      </c>
      <c r="D232" s="20" t="inlineStr">
        <is>
          <t>Muxammadiyeva</t>
        </is>
      </c>
      <c r="E232" s="20" t="inlineStr">
        <is>
          <t>Fazlina</t>
        </is>
      </c>
      <c r="F232" s="21" t="inlineStr">
        <is>
          <t>Maxmud qizi</t>
        </is>
      </c>
      <c r="G232" s="21">
        <f>Таблица1[[#This Row],[Familiyasi]]&amp;" "&amp;Таблица1[[#This Row],[Ismi]]&amp;" "&amp;Таблица1[[#This Row],[Otasining ismi]]</f>
        <v/>
      </c>
      <c r="H232" s="9" t="inlineStr">
        <is>
          <t>08.08.2004</t>
        </is>
      </c>
      <c r="I232" s="21" t="inlineStr">
        <is>
          <t>ad0190833</t>
        </is>
      </c>
      <c r="J232" s="9" t="inlineStr">
        <is>
          <t>60808047890011</t>
        </is>
      </c>
      <c r="K232" s="21" t="inlineStr">
        <is>
          <t>24.02.2021</t>
        </is>
      </c>
      <c r="L232" s="21" t="inlineStr"/>
      <c r="M232" s="21" t="inlineStr"/>
      <c r="N232" s="21" t="inlineStr">
        <is>
          <t>hamshiralik ishi - 3 yillik</t>
        </is>
      </c>
      <c r="O232" s="21" t="inlineStr"/>
      <c r="P232" s="9" t="inlineStr">
        <is>
          <t>43</t>
        </is>
      </c>
      <c r="Q232" s="22" t="inlineStr">
        <is>
          <t>muhammadiyeva fazlina 43 chala.docx</t>
        </is>
      </c>
    </row>
    <row r="233" ht="30" customHeight="1">
      <c r="A233" s="19" t="n">
        <v>46269</v>
      </c>
      <c r="B233" s="29" t="inlineStr">
        <is>
          <t>N</t>
        </is>
      </c>
      <c r="C233" s="10">
        <f>COUNTIF($B$13:B233,B233)</f>
        <v/>
      </c>
      <c r="D233" s="20" t="inlineStr">
        <is>
          <t>Nomozova</t>
        </is>
      </c>
      <c r="E233" s="20" t="inlineStr">
        <is>
          <t>Marjona</t>
        </is>
      </c>
      <c r="F233" s="21" t="inlineStr">
        <is>
          <t>Sobir qizi</t>
        </is>
      </c>
      <c r="G233" s="21">
        <f>Таблица1[[#This Row],[Familiyasi]]&amp;" "&amp;Таблица1[[#This Row],[Ismi]]&amp;" "&amp;Таблица1[[#This Row],[Otasining ismi]]</f>
        <v/>
      </c>
      <c r="H233" s="9" t="n"/>
      <c r="I233" s="21" t="n"/>
      <c r="J233" s="9" t="n"/>
      <c r="K233" s="21" t="n"/>
      <c r="L233" s="21" t="n"/>
      <c r="M233" s="21" t="n"/>
      <c r="N233" s="21" t="n"/>
      <c r="O233" s="21" t="n"/>
      <c r="P233" s="9" t="n"/>
      <c r="Q233" s="22" t="n"/>
    </row>
    <row r="234" ht="30" customHeight="1">
      <c r="A234" s="19" t="n">
        <v>46267</v>
      </c>
      <c r="B234" s="29" t="inlineStr">
        <is>
          <t>N</t>
        </is>
      </c>
      <c r="C234" s="10">
        <f>COUNTIF($B$13:B234,B234)</f>
        <v/>
      </c>
      <c r="D234" s="20" t="inlineStr">
        <is>
          <t>Nomozova</t>
        </is>
      </c>
      <c r="E234" s="20" t="inlineStr">
        <is>
          <t>Mohinur</t>
        </is>
      </c>
      <c r="F234" s="21" t="inlineStr">
        <is>
          <t>Qayum qizi</t>
        </is>
      </c>
      <c r="G234" s="21">
        <f>Таблица1[[#This Row],[Familiyasi]]&amp;" "&amp;Таблица1[[#This Row],[Ismi]]&amp;" "&amp;Таблица1[[#This Row],[Otasining ismi]]</f>
        <v/>
      </c>
      <c r="H234" s="9" t="inlineStr">
        <is>
          <t>13.07.2008</t>
        </is>
      </c>
      <c r="I234" s="21" t="inlineStr">
        <is>
          <t>ae5320894</t>
        </is>
      </c>
      <c r="J234" s="9" t="inlineStr">
        <is>
          <t>61307085630021</t>
        </is>
      </c>
      <c r="K234" s="21" t="inlineStr">
        <is>
          <t>05.12.2025</t>
        </is>
      </c>
      <c r="L234" s="21" t="inlineStr">
        <is>
          <t>um 03740039</t>
        </is>
      </c>
      <c r="M234" s="21" t="inlineStr">
        <is>
          <t>15-sonli umumiy o'rta ta'lim maktabi</t>
        </is>
      </c>
      <c r="N234" s="21" t="inlineStr">
        <is>
          <t>hamshiralik ishi - 3 yillik</t>
        </is>
      </c>
      <c r="O234" s="21" t="inlineStr">
        <is>
          <t>2026</t>
        </is>
      </c>
      <c r="P234" s="9" t="inlineStr">
        <is>
          <t>88</t>
        </is>
      </c>
      <c r="Q234" s="22" t="inlineStr">
        <is>
          <t>nomozova mohinur 88.docx</t>
        </is>
      </c>
    </row>
    <row r="235" ht="30" customHeight="1">
      <c r="A235" s="19" t="n">
        <v>46269</v>
      </c>
      <c r="B235" s="29" t="inlineStr">
        <is>
          <t>N</t>
        </is>
      </c>
      <c r="C235" s="10">
        <f>COUNTIF($B$13:B235,B235)</f>
        <v/>
      </c>
      <c r="D235" s="20" t="inlineStr">
        <is>
          <t>Nomozova</t>
        </is>
      </c>
      <c r="E235" s="20" t="inlineStr">
        <is>
          <t>Rohima</t>
        </is>
      </c>
      <c r="F235" s="21" t="n"/>
      <c r="G235" s="21">
        <f>Таблица1[[#This Row],[Familiyasi]]&amp;" "&amp;Таблица1[[#This Row],[Ismi]]&amp;" "&amp;Таблица1[[#This Row],[Otasining ismi]]</f>
        <v/>
      </c>
      <c r="H235" s="9" t="n"/>
      <c r="I235" s="21" t="n"/>
      <c r="J235" s="9" t="n"/>
      <c r="K235" s="21" t="n"/>
      <c r="L235" s="21" t="n"/>
      <c r="M235" s="21" t="n"/>
      <c r="N235" s="21" t="n"/>
      <c r="O235" s="21" t="n"/>
      <c r="P235" s="9" t="n"/>
      <c r="Q235" s="22" t="n"/>
    </row>
    <row r="236" ht="30" customHeight="1">
      <c r="A236" s="19" t="n">
        <v>46267</v>
      </c>
      <c r="B236" s="29" t="inlineStr">
        <is>
          <t>N</t>
        </is>
      </c>
      <c r="C236" s="10">
        <f>COUNTIF($B$13:B236,B236)</f>
        <v/>
      </c>
      <c r="D236" s="20" t="inlineStr">
        <is>
          <t>Normanova</t>
        </is>
      </c>
      <c r="E236" s="20" t="inlineStr">
        <is>
          <t>Durdona</t>
        </is>
      </c>
      <c r="F236" s="21" t="inlineStr">
        <is>
          <t>Askar qizi</t>
        </is>
      </c>
      <c r="G236" s="21">
        <f>Таблица1[[#This Row],[Familiyasi]]&amp;" "&amp;Таблица1[[#This Row],[Ismi]]&amp;" "&amp;Таблица1[[#This Row],[Otasining ismi]]</f>
        <v/>
      </c>
      <c r="H236" s="9" t="inlineStr">
        <is>
          <t>13.08.2008</t>
        </is>
      </c>
      <c r="I236" s="21" t="inlineStr">
        <is>
          <t>ae4701633</t>
        </is>
      </c>
      <c r="J236" s="9" t="inlineStr">
        <is>
          <t>61308085730063</t>
        </is>
      </c>
      <c r="K236" s="21" t="inlineStr">
        <is>
          <t>21.10.2025</t>
        </is>
      </c>
      <c r="L236" s="21" t="inlineStr">
        <is>
          <t>um 03758319</t>
        </is>
      </c>
      <c r="M236" s="21" t="inlineStr">
        <is>
          <t>83-sonli umumiy o'rta ta'lim maktabi</t>
        </is>
      </c>
      <c r="N236" s="21" t="inlineStr">
        <is>
          <t>hamshiralik ishi - 3 yillik</t>
        </is>
      </c>
      <c r="O236" s="21" t="inlineStr">
        <is>
          <t>2026</t>
        </is>
      </c>
      <c r="P236" s="9" t="inlineStr">
        <is>
          <t>48</t>
        </is>
      </c>
      <c r="Q236" s="22" t="inlineStr">
        <is>
          <t>normanova durdona 48.docx</t>
        </is>
      </c>
    </row>
    <row r="237" ht="30" customHeight="1">
      <c r="A237" s="19" t="n">
        <v>46267</v>
      </c>
      <c r="B237" s="28" t="inlineStr">
        <is>
          <t>N</t>
        </is>
      </c>
      <c r="C237" s="10">
        <f>COUNTIF($B$13:B237,B237)</f>
        <v/>
      </c>
      <c r="D237" s="20" t="inlineStr">
        <is>
          <t>Norqulova</t>
        </is>
      </c>
      <c r="E237" s="20" t="inlineStr">
        <is>
          <t>Sabina</t>
        </is>
      </c>
      <c r="F237" s="21" t="inlineStr">
        <is>
          <t>Alisher qizi</t>
        </is>
      </c>
      <c r="G237" s="21">
        <f>Таблица1[[#This Row],[Familiyasi]]&amp;" "&amp;Таблица1[[#This Row],[Ismi]]&amp;" "&amp;Таблица1[[#This Row],[Otasining ismi]]</f>
        <v/>
      </c>
      <c r="H237" s="9" t="inlineStr">
        <is>
          <t>14.09.2006</t>
        </is>
      </c>
      <c r="I237" s="21" t="inlineStr">
        <is>
          <t>ad3115729</t>
        </is>
      </c>
      <c r="J237" s="9" t="inlineStr">
        <is>
          <t>61409065590018</t>
        </is>
      </c>
      <c r="K237" s="21" t="inlineStr">
        <is>
          <t>25.04.2023</t>
        </is>
      </c>
      <c r="L237" s="21" t="inlineStr">
        <is>
          <t>im 0020406</t>
        </is>
      </c>
      <c r="M237" s="21" t="inlineStr">
        <is>
          <t>qarshi ixtisoslashtirilgan madaniyat maktabi</t>
        </is>
      </c>
      <c r="N237" s="21" t="inlineStr">
        <is>
          <t>hamshiralik ishi - 3 yillik</t>
        </is>
      </c>
      <c r="O237" s="21" t="inlineStr">
        <is>
          <t>2025</t>
        </is>
      </c>
      <c r="P237" s="9" t="inlineStr">
        <is>
          <t>180</t>
        </is>
      </c>
      <c r="Q237" s="22" t="inlineStr">
        <is>
          <t>norqulova sabrina 180.docx</t>
        </is>
      </c>
    </row>
    <row r="238" ht="30" customHeight="1">
      <c r="A238" s="19" t="n">
        <v>46267</v>
      </c>
      <c r="B238" s="28" t="inlineStr">
        <is>
          <t>N</t>
        </is>
      </c>
      <c r="C238" s="10">
        <f>COUNTIF($B$13:B238,B238)</f>
        <v/>
      </c>
      <c r="D238" s="20" t="inlineStr">
        <is>
          <t>Nurillayeva</t>
        </is>
      </c>
      <c r="E238" s="20" t="inlineStr">
        <is>
          <t>Sevinch</t>
        </is>
      </c>
      <c r="F238" s="21" t="inlineStr">
        <is>
          <t>Mashrab qizi</t>
        </is>
      </c>
      <c r="G238" s="21">
        <f>Таблица1[[#This Row],[Familiyasi]]&amp;" "&amp;Таблица1[[#This Row],[Ismi]]&amp;" "&amp;Таблица1[[#This Row],[Otasining ismi]]</f>
        <v/>
      </c>
      <c r="H238" s="9" t="inlineStr">
        <is>
          <t>05.04.2008</t>
        </is>
      </c>
      <c r="I238" s="21" t="inlineStr">
        <is>
          <t>ad9494409</t>
        </is>
      </c>
      <c r="J238" s="9" t="inlineStr">
        <is>
          <t>60504085680019</t>
        </is>
      </c>
      <c r="K238" s="21" t="inlineStr">
        <is>
          <t>20.11.2024</t>
        </is>
      </c>
      <c r="L238" s="21" t="inlineStr">
        <is>
          <t>um 03729348</t>
        </is>
      </c>
      <c r="M238" s="21" t="inlineStr">
        <is>
          <t>46-sonli umumiy o'rta ta'lim maktabini</t>
        </is>
      </c>
      <c r="N238" s="21" t="inlineStr">
        <is>
          <t>hamshiralik ishi - 3 yillik</t>
        </is>
      </c>
      <c r="O238" s="21" t="inlineStr">
        <is>
          <t>2026</t>
        </is>
      </c>
      <c r="P238" s="9" t="inlineStr">
        <is>
          <t>246</t>
        </is>
      </c>
      <c r="Q238" s="22" t="inlineStr">
        <is>
          <t>nurillayeva sevinch 246.docx</t>
        </is>
      </c>
    </row>
    <row r="239" ht="30" customHeight="1">
      <c r="A239" s="19" t="n">
        <v>46267</v>
      </c>
      <c r="B239" s="28" t="inlineStr">
        <is>
          <t>N</t>
        </is>
      </c>
      <c r="C239" s="10">
        <f>COUNTIF($B$13:B239,B239)</f>
        <v/>
      </c>
      <c r="D239" s="20" t="inlineStr">
        <is>
          <t>Nurmatova</t>
        </is>
      </c>
      <c r="E239" s="20" t="inlineStr">
        <is>
          <t>Sevinch</t>
        </is>
      </c>
      <c r="F239" s="21" t="inlineStr">
        <is>
          <t>Bozor qizi</t>
        </is>
      </c>
      <c r="G239" s="21">
        <f>Таблица1[[#This Row],[Familiyasi]]&amp;" "&amp;Таблица1[[#This Row],[Ismi]]&amp;" "&amp;Таблица1[[#This Row],[Otasining ismi]]</f>
        <v/>
      </c>
      <c r="H239" s="9" t="inlineStr">
        <is>
          <t>08.04.2008</t>
        </is>
      </c>
      <c r="I239" s="21" t="inlineStr">
        <is>
          <t>ae5728863</t>
        </is>
      </c>
      <c r="J239" s="9" t="inlineStr">
        <is>
          <t>60804085590032</t>
        </is>
      </c>
      <c r="K239" s="21" t="inlineStr">
        <is>
          <t>07.01.2026</t>
        </is>
      </c>
      <c r="L239" s="21" t="inlineStr">
        <is>
          <t>um 03755450</t>
        </is>
      </c>
      <c r="M239" s="21" t="inlineStr">
        <is>
          <t>68-sonli umumiy o'rta ta'lim maktabi</t>
        </is>
      </c>
      <c r="N239" s="21" t="inlineStr">
        <is>
          <t>hamshiralik ishi - 3 yillik</t>
        </is>
      </c>
      <c r="O239" s="21" t="inlineStr">
        <is>
          <t>2026</t>
        </is>
      </c>
      <c r="P239" s="9" t="inlineStr">
        <is>
          <t>85</t>
        </is>
      </c>
      <c r="Q239" s="22" t="inlineStr">
        <is>
          <t>nurmatova sevinch 85.docx</t>
        </is>
      </c>
    </row>
    <row r="240" ht="30" customHeight="1">
      <c r="A240" s="19" t="n">
        <v>46267</v>
      </c>
      <c r="B240" s="28" t="inlineStr">
        <is>
          <t>N</t>
        </is>
      </c>
      <c r="C240" s="10">
        <f>COUNTIF($B$13:B240,B240)</f>
        <v/>
      </c>
      <c r="D240" s="20" t="inlineStr">
        <is>
          <t>Olimjonova</t>
        </is>
      </c>
      <c r="E240" s="20" t="inlineStr">
        <is>
          <t>Zuxra</t>
        </is>
      </c>
      <c r="F240" s="21" t="inlineStr">
        <is>
          <t>Zarif qizi</t>
        </is>
      </c>
      <c r="G240" s="21">
        <f>Таблица1[[#This Row],[Familiyasi]]&amp;" "&amp;Таблица1[[#This Row],[Ismi]]&amp;" "&amp;Таблица1[[#This Row],[Otasining ismi]]</f>
        <v/>
      </c>
      <c r="H240" s="9" t="inlineStr">
        <is>
          <t>03.12.2008</t>
        </is>
      </c>
      <c r="I240" s="21" t="inlineStr">
        <is>
          <t>ae4652546</t>
        </is>
      </c>
      <c r="J240" s="9" t="inlineStr">
        <is>
          <t>60312085680018</t>
        </is>
      </c>
      <c r="K240" s="21" t="inlineStr">
        <is>
          <t>16.10.2025</t>
        </is>
      </c>
      <c r="L240" s="21" t="inlineStr">
        <is>
          <t>um 03728034</t>
        </is>
      </c>
      <c r="M240" s="21" t="inlineStr">
        <is>
          <t>4-sonli umumiy o'rta ta'lim maktabi</t>
        </is>
      </c>
      <c r="N240" s="21" t="inlineStr">
        <is>
          <t>hamshiralik ishi - 3 yillik</t>
        </is>
      </c>
      <c r="O240" s="21" t="inlineStr">
        <is>
          <t>2026</t>
        </is>
      </c>
      <c r="P240" s="9" t="inlineStr">
        <is>
          <t>201</t>
        </is>
      </c>
      <c r="Q240" s="22" t="inlineStr">
        <is>
          <t>olimjonova zuxra  201.docx</t>
        </is>
      </c>
    </row>
    <row r="241" ht="30" customHeight="1">
      <c r="A241" s="19" t="n">
        <v>46267</v>
      </c>
      <c r="B241" s="28" t="inlineStr">
        <is>
          <t>N</t>
        </is>
      </c>
      <c r="C241" s="10">
        <f>COUNTIF($B$13:B241,B241)</f>
        <v/>
      </c>
      <c r="D241" s="20" t="inlineStr">
        <is>
          <t>Ovlayeva</t>
        </is>
      </c>
      <c r="E241" s="20" t="inlineStr">
        <is>
          <t>Ma'mura</t>
        </is>
      </c>
      <c r="F241" s="21" t="n"/>
      <c r="G241" s="21">
        <f>Таблица1[[#This Row],[Familiyasi]]&amp;" "&amp;Таблица1[[#This Row],[Ismi]]&amp;" "&amp;Таблица1[[#This Row],[Otasining ismi]]</f>
        <v/>
      </c>
      <c r="H241" s="9" t="inlineStr"/>
      <c r="I241" s="21" t="inlineStr"/>
      <c r="J241" s="9" t="inlineStr"/>
      <c r="K241" s="21" t="inlineStr"/>
      <c r="L241" s="21" t="inlineStr"/>
      <c r="M241" s="21" t="inlineStr"/>
      <c r="N241" s="21" t="inlineStr">
        <is>
          <t>hamshiralik ishi - 2 yillik</t>
        </is>
      </c>
      <c r="O241" s="21" t="inlineStr"/>
      <c r="P241" s="9" t="inlineStr">
        <is>
          <t>391</t>
        </is>
      </c>
      <c r="Q241" s="22" t="inlineStr">
        <is>
          <t>ovlayeva ma'mura  391 chala.docx</t>
        </is>
      </c>
    </row>
    <row r="242" ht="30" customHeight="1">
      <c r="A242" s="19" t="n">
        <v>46267</v>
      </c>
      <c r="B242" s="28" t="inlineStr">
        <is>
          <t>N</t>
        </is>
      </c>
      <c r="C242" s="10">
        <f>COUNTIF($B$13:B242,B242)</f>
        <v/>
      </c>
      <c r="D242" s="20" t="inlineStr">
        <is>
          <t>Ozodova</t>
        </is>
      </c>
      <c r="E242" s="20" t="inlineStr">
        <is>
          <t>Kamola</t>
        </is>
      </c>
      <c r="F242" s="21" t="inlineStr">
        <is>
          <t>Jamoliddin qizi</t>
        </is>
      </c>
      <c r="G242" s="21">
        <f>Таблица1[[#This Row],[Familiyasi]]&amp;" "&amp;Таблица1[[#This Row],[Ismi]]&amp;" "&amp;Таблица1[[#This Row],[Otasining ismi]]</f>
        <v/>
      </c>
      <c r="H242" s="9" t="inlineStr">
        <is>
          <t>13.05.1998</t>
        </is>
      </c>
      <c r="I242" s="21" t="inlineStr">
        <is>
          <t>ab5784873</t>
        </is>
      </c>
      <c r="J242" s="9" t="inlineStr">
        <is>
          <t>41305985590076</t>
        </is>
      </c>
      <c r="K242" s="21" t="inlineStr">
        <is>
          <t>29.01.2017</t>
        </is>
      </c>
      <c r="L242" s="21" t="inlineStr">
        <is>
          <t>k 4590443</t>
        </is>
      </c>
      <c r="M242" s="21" t="inlineStr">
        <is>
          <t>shahrisabz oziq-ovqat va maishiy xizmat kasb-hunar kolleji</t>
        </is>
      </c>
      <c r="N242" s="21" t="inlineStr">
        <is>
          <t>hamshiralik ishi - 3 yillik</t>
        </is>
      </c>
      <c r="O242" s="21" t="inlineStr">
        <is>
          <t>2017</t>
        </is>
      </c>
      <c r="P242" s="9" t="inlineStr">
        <is>
          <t>54</t>
        </is>
      </c>
      <c r="Q242" s="22" t="inlineStr">
        <is>
          <t>ozodova kamola 54.docx</t>
        </is>
      </c>
    </row>
    <row r="243" ht="30" customHeight="1">
      <c r="A243" s="19" t="n">
        <v>46267</v>
      </c>
      <c r="B243" s="28" t="inlineStr">
        <is>
          <t>N</t>
        </is>
      </c>
      <c r="C243" s="10">
        <f>COUNTIF($B$13:B243,B243)</f>
        <v/>
      </c>
      <c r="D243" s="20" t="inlineStr">
        <is>
          <t>Qayumova</t>
        </is>
      </c>
      <c r="E243" s="20" t="inlineStr">
        <is>
          <t>Shahzoda</t>
        </is>
      </c>
      <c r="F243" s="21" t="inlineStr">
        <is>
          <t>G'anisher qizi</t>
        </is>
      </c>
      <c r="G243" s="21">
        <f>Таблица1[[#This Row],[Familiyasi]]&amp;" "&amp;Таблица1[[#This Row],[Ismi]]&amp;" "&amp;Таблица1[[#This Row],[Otasining ismi]]</f>
        <v/>
      </c>
      <c r="H243" s="9" t="inlineStr">
        <is>
          <t>06.08.2008</t>
        </is>
      </c>
      <c r="I243" s="21" t="inlineStr">
        <is>
          <t>ae2767954</t>
        </is>
      </c>
      <c r="J243" s="9" t="inlineStr">
        <is>
          <t>60608085720073</t>
        </is>
      </c>
      <c r="K243" s="21" t="inlineStr">
        <is>
          <t>21.05.2025</t>
        </is>
      </c>
      <c r="L243" s="21" t="inlineStr">
        <is>
          <t>um 03718789</t>
        </is>
      </c>
      <c r="M243" s="21" t="inlineStr">
        <is>
          <t>52-sonli umumiy o'rta ta'lim maktabi</t>
        </is>
      </c>
      <c r="N243" s="21" t="inlineStr">
        <is>
          <t>farmatsiya ishi</t>
        </is>
      </c>
      <c r="O243" s="21" t="inlineStr">
        <is>
          <t>2026</t>
        </is>
      </c>
      <c r="P243" s="9" t="inlineStr">
        <is>
          <t>210</t>
        </is>
      </c>
      <c r="Q243" s="22" t="inlineStr">
        <is>
          <t>qayumova shahzoda 210.docx</t>
        </is>
      </c>
    </row>
    <row r="244" ht="30" customHeight="1">
      <c r="A244" s="19" t="n">
        <v>46267</v>
      </c>
      <c r="B244" s="28" t="inlineStr">
        <is>
          <t>N</t>
        </is>
      </c>
      <c r="C244" s="10">
        <f>COUNTIF($B$13:B244,B244)</f>
        <v/>
      </c>
      <c r="D244" s="20" t="inlineStr">
        <is>
          <t>Qodirova</t>
        </is>
      </c>
      <c r="E244" s="20" t="inlineStr">
        <is>
          <t>Shabnam</t>
        </is>
      </c>
      <c r="F244" s="21" t="inlineStr">
        <is>
          <t>O'tkir qizi</t>
        </is>
      </c>
      <c r="G244" s="21">
        <f>Таблица1[[#This Row],[Familiyasi]]&amp;" "&amp;Таблица1[[#This Row],[Ismi]]&amp;" "&amp;Таблица1[[#This Row],[Otasining ismi]]</f>
        <v/>
      </c>
      <c r="H244" s="9" t="inlineStr">
        <is>
          <t>18.07.2008</t>
        </is>
      </c>
      <c r="I244" s="21" t="inlineStr">
        <is>
          <t>ae5242435</t>
        </is>
      </c>
      <c r="J244" s="9" t="inlineStr">
        <is>
          <t>61807085680045</t>
        </is>
      </c>
      <c r="K244" s="21" t="inlineStr">
        <is>
          <t>01.12.2025</t>
        </is>
      </c>
      <c r="L244" s="21" t="inlineStr">
        <is>
          <t>um 03729278</t>
        </is>
      </c>
      <c r="M244" s="21" t="inlineStr">
        <is>
          <t>44-sonli umumiy o'rta ta'lim maktabi</t>
        </is>
      </c>
      <c r="N244" s="21" t="inlineStr">
        <is>
          <t>hamshiralik ishi - 3 yillik</t>
        </is>
      </c>
      <c r="O244" s="21" t="inlineStr">
        <is>
          <t>2026</t>
        </is>
      </c>
      <c r="P244" s="9" t="inlineStr">
        <is>
          <t>137</t>
        </is>
      </c>
      <c r="Q244" s="22" t="inlineStr">
        <is>
          <t>qodirova shabnam 137.docx</t>
        </is>
      </c>
    </row>
    <row r="245" ht="30" customHeight="1">
      <c r="A245" s="19" t="n">
        <v>46267</v>
      </c>
      <c r="B245" s="28" t="inlineStr">
        <is>
          <t>N</t>
        </is>
      </c>
      <c r="C245" s="10">
        <f>COUNTIF($B$13:B245,B245)</f>
        <v/>
      </c>
      <c r="D245" s="20" t="inlineStr">
        <is>
          <t>Qurbonova</t>
        </is>
      </c>
      <c r="E245" s="20" t="inlineStr">
        <is>
          <t>Kamola</t>
        </is>
      </c>
      <c r="F245" s="21" t="n"/>
      <c r="G245" s="21">
        <f>Таблица1[[#This Row],[Familiyasi]]&amp;" "&amp;Таблица1[[#This Row],[Ismi]]&amp;" "&amp;Таблица1[[#This Row],[Otasining ismi]]</f>
        <v/>
      </c>
      <c r="H245" s="9" t="inlineStr"/>
      <c r="I245" s="21" t="inlineStr"/>
      <c r="J245" s="9" t="inlineStr"/>
      <c r="K245" s="21" t="inlineStr"/>
      <c r="L245" s="21" t="inlineStr"/>
      <c r="M245" s="21" t="inlineStr"/>
      <c r="N245" s="21" t="inlineStr">
        <is>
          <t>hamshiralik ishi - 3 yillik</t>
        </is>
      </c>
      <c r="O245" s="21" t="inlineStr"/>
      <c r="P245" s="9" t="inlineStr">
        <is>
          <t>128</t>
        </is>
      </c>
      <c r="Q245" s="22" t="inlineStr"/>
    </row>
    <row r="246" ht="30" customHeight="1">
      <c r="A246" s="19" t="n">
        <v>46267</v>
      </c>
      <c r="B246" s="28" t="inlineStr">
        <is>
          <t>N</t>
        </is>
      </c>
      <c r="C246" s="10">
        <f>COUNTIF($B$13:B246,B246)</f>
        <v/>
      </c>
      <c r="D246" s="20" t="inlineStr">
        <is>
          <t>Qurbonova</t>
        </is>
      </c>
      <c r="E246" s="20" t="inlineStr">
        <is>
          <t>Sumbula</t>
        </is>
      </c>
      <c r="F246" s="21" t="inlineStr">
        <is>
          <t>Anvar qizi</t>
        </is>
      </c>
      <c r="G246" s="21">
        <f>Таблица1[[#This Row],[Familiyasi]]&amp;" "&amp;Таблица1[[#This Row],[Ismi]]&amp;" "&amp;Таблица1[[#This Row],[Otasining ismi]]</f>
        <v/>
      </c>
      <c r="H246" s="9" t="inlineStr">
        <is>
          <t>18.07.2008</t>
        </is>
      </c>
      <c r="I246" s="21" t="inlineStr">
        <is>
          <t>ae4847346</t>
        </is>
      </c>
      <c r="J246" s="9" t="inlineStr">
        <is>
          <t>61807085590135</t>
        </is>
      </c>
      <c r="K246" s="21" t="inlineStr">
        <is>
          <t>01.11.2025</t>
        </is>
      </c>
      <c r="L246" s="21" t="inlineStr">
        <is>
          <t>um 03754650</t>
        </is>
      </c>
      <c r="M246" s="21" t="inlineStr">
        <is>
          <t>qashqadaryo viloyati, shahrisabz tumani 39-sonli umumiy o'rta ta'lim maktabi</t>
        </is>
      </c>
      <c r="N246" s="21" t="inlineStr">
        <is>
          <t>hamshiralik ishi - 3 yillik</t>
        </is>
      </c>
      <c r="O246" s="21" t="inlineStr">
        <is>
          <t>2026</t>
        </is>
      </c>
      <c r="P246" s="9" t="inlineStr">
        <is>
          <t>241</t>
        </is>
      </c>
      <c r="Q246" s="22" t="inlineStr">
        <is>
          <t>qurbonova sumbula 241.docx</t>
        </is>
      </c>
    </row>
    <row r="247" ht="30" customHeight="1">
      <c r="A247" s="19" t="n">
        <v>46267</v>
      </c>
      <c r="B247" s="28" t="inlineStr">
        <is>
          <t>N</t>
        </is>
      </c>
      <c r="C247" s="10">
        <f>COUNTIF($B$13:B247,B247)</f>
        <v/>
      </c>
      <c r="D247" s="20" t="inlineStr">
        <is>
          <t>Raupova</t>
        </is>
      </c>
      <c r="E247" s="20" t="inlineStr">
        <is>
          <t>Ruxshona</t>
        </is>
      </c>
      <c r="F247" s="21" t="inlineStr">
        <is>
          <t>Otabek qizi</t>
        </is>
      </c>
      <c r="G247" s="21">
        <f>Таблица1[[#This Row],[Familiyasi]]&amp;" "&amp;Таблица1[[#This Row],[Ismi]]&amp;" "&amp;Таблица1[[#This Row],[Otasining ismi]]</f>
        <v/>
      </c>
      <c r="H247" s="9" t="inlineStr">
        <is>
          <t>27.03.2009</t>
        </is>
      </c>
      <c r="I247" s="21" t="inlineStr">
        <is>
          <t>ae5009516</t>
        </is>
      </c>
      <c r="J247" s="9" t="inlineStr">
        <is>
          <t>62703095590048</t>
        </is>
      </c>
      <c r="K247" s="21" t="inlineStr">
        <is>
          <t>12.11.2025</t>
        </is>
      </c>
      <c r="L247" s="21" t="inlineStr">
        <is>
          <t>um 03751981</t>
        </is>
      </c>
      <c r="M247" s="21" t="inlineStr">
        <is>
          <t>8-sonli umumiy o'rta ta'lim maktabi</t>
        </is>
      </c>
      <c r="N247" s="21" t="inlineStr">
        <is>
          <t>hamshiralik ishi - 3 yillik</t>
        </is>
      </c>
      <c r="O247" s="21" t="inlineStr">
        <is>
          <t>2026</t>
        </is>
      </c>
      <c r="P247" s="9" t="inlineStr">
        <is>
          <t>83</t>
        </is>
      </c>
      <c r="Q247" s="22" t="inlineStr">
        <is>
          <t>raupova ruhshona 83.docx</t>
        </is>
      </c>
    </row>
    <row r="248" ht="30" customHeight="1">
      <c r="A248" s="19" t="n">
        <v>46267</v>
      </c>
      <c r="B248" s="28" t="inlineStr">
        <is>
          <t>N</t>
        </is>
      </c>
      <c r="C248" s="10">
        <f>COUNTIF($B$13:B248,B248)</f>
        <v/>
      </c>
      <c r="D248" s="20" t="inlineStr">
        <is>
          <t>Ravshanova</t>
        </is>
      </c>
      <c r="E248" s="20" t="inlineStr">
        <is>
          <t>Farangiz</t>
        </is>
      </c>
      <c r="F248" s="21" t="inlineStr">
        <is>
          <t>Ruslanovna qizi</t>
        </is>
      </c>
      <c r="G248" s="21">
        <f>Таблица1[[#This Row],[Familiyasi]]&amp;" "&amp;Таблица1[[#This Row],[Ismi]]&amp;" "&amp;Таблица1[[#This Row],[Otasining ismi]]</f>
        <v/>
      </c>
      <c r="H248" s="9" t="inlineStr">
        <is>
          <t>20.12.2008</t>
        </is>
      </c>
      <c r="I248" s="21" t="inlineStr">
        <is>
          <t>ad9945217</t>
        </is>
      </c>
      <c r="J248" s="9" t="inlineStr">
        <is>
          <t>62012086150049</t>
        </is>
      </c>
      <c r="K248" s="21" t="inlineStr">
        <is>
          <t>24.12.2024</t>
        </is>
      </c>
      <c r="L248" s="21" t="inlineStr">
        <is>
          <t>um 03827613</t>
        </is>
      </c>
      <c r="M248" s="21" t="inlineStr">
        <is>
          <t>34-sonli umumiy o'rta ta'lim maktabini</t>
        </is>
      </c>
      <c r="N248" s="21" t="inlineStr">
        <is>
          <t>hamshiralik ishi - 3 yillik</t>
        </is>
      </c>
      <c r="O248" s="21" t="inlineStr">
        <is>
          <t>2026</t>
        </is>
      </c>
      <c r="P248" s="9" t="inlineStr">
        <is>
          <t>249</t>
        </is>
      </c>
      <c r="Q248" s="22" t="inlineStr">
        <is>
          <t>ravshanova farangiz 249.docx</t>
        </is>
      </c>
    </row>
    <row r="249" ht="30" customHeight="1">
      <c r="A249" s="19" t="n">
        <v>46267</v>
      </c>
      <c r="B249" s="28" t="inlineStr">
        <is>
          <t>N</t>
        </is>
      </c>
      <c r="C249" s="10">
        <f>COUNTIF($B$13:B249,B249)</f>
        <v/>
      </c>
      <c r="D249" s="20" t="inlineStr">
        <is>
          <t>Raxmonova</t>
        </is>
      </c>
      <c r="E249" s="20" t="inlineStr">
        <is>
          <t>Durdona</t>
        </is>
      </c>
      <c r="F249" s="21" t="inlineStr">
        <is>
          <t>Shokir qizi</t>
        </is>
      </c>
      <c r="G249" s="21">
        <f>Таблица1[[#This Row],[Familiyasi]]&amp;" "&amp;Таблица1[[#This Row],[Ismi]]&amp;" "&amp;Таблица1[[#This Row],[Otasining ismi]]</f>
        <v/>
      </c>
      <c r="H249" s="9" t="inlineStr">
        <is>
          <t>24.12.1995</t>
        </is>
      </c>
      <c r="I249" s="21" t="inlineStr">
        <is>
          <t>ad3936978</t>
        </is>
      </c>
      <c r="J249" s="9" t="inlineStr">
        <is>
          <t>42412955590015</t>
        </is>
      </c>
      <c r="K249" s="21" t="inlineStr">
        <is>
          <t>13.07.2023</t>
        </is>
      </c>
      <c r="L249" s="21" t="inlineStr">
        <is>
          <t>k 3359681</t>
        </is>
      </c>
      <c r="M249" s="21" t="inlineStr">
        <is>
          <t>shahrisabz iqtisodiyot kolleji</t>
        </is>
      </c>
      <c r="N249" s="21" t="inlineStr">
        <is>
          <t>hamshiralik ishi - 3 yillik</t>
        </is>
      </c>
      <c r="O249" s="21" t="inlineStr">
        <is>
          <t>2014</t>
        </is>
      </c>
      <c r="P249" s="9" t="inlineStr">
        <is>
          <t>200</t>
        </is>
      </c>
      <c r="Q249" s="22" t="inlineStr">
        <is>
          <t>raxmonova  durdona 200.docx</t>
        </is>
      </c>
    </row>
    <row r="250" ht="30" customHeight="1">
      <c r="A250" s="19" t="n">
        <v>46267</v>
      </c>
      <c r="B250" s="28" t="inlineStr">
        <is>
          <t>N</t>
        </is>
      </c>
      <c r="C250" s="10">
        <f>COUNTIF($B$13:B250,B250)</f>
        <v/>
      </c>
      <c r="D250" s="20" t="inlineStr">
        <is>
          <t>Raxmonova</t>
        </is>
      </c>
      <c r="E250" s="20" t="inlineStr">
        <is>
          <t>Marjona</t>
        </is>
      </c>
      <c r="F250" s="21" t="inlineStr">
        <is>
          <t>Ruslanbek qizi</t>
        </is>
      </c>
      <c r="G250" s="21">
        <f>Таблица1[[#This Row],[Familiyasi]]&amp;" "&amp;Таблица1[[#This Row],[Ismi]]&amp;" "&amp;Таблица1[[#This Row],[Otasining ismi]]</f>
        <v/>
      </c>
      <c r="H250" s="9" t="inlineStr">
        <is>
          <t>27.02.2008</t>
        </is>
      </c>
      <c r="I250" s="21" t="inlineStr">
        <is>
          <t>ae1738380</t>
        </is>
      </c>
      <c r="J250" s="9" t="inlineStr">
        <is>
          <t>62702085680035</t>
        </is>
      </c>
      <c r="K250" s="21" t="inlineStr">
        <is>
          <t>24.02.2025</t>
        </is>
      </c>
      <c r="L250" s="21" t="inlineStr">
        <is>
          <t>um 03728552</t>
        </is>
      </c>
      <c r="M250" s="21" t="inlineStr">
        <is>
          <t>20-sonli umumiy o'rta ta'lim maktabi</t>
        </is>
      </c>
      <c r="N250" s="21" t="inlineStr">
        <is>
          <t>hamshiralik ishi - 3 yillik</t>
        </is>
      </c>
      <c r="O250" s="21" t="inlineStr">
        <is>
          <t>2026</t>
        </is>
      </c>
      <c r="P250" s="9" t="inlineStr">
        <is>
          <t>42</t>
        </is>
      </c>
      <c r="Q250" s="22" t="inlineStr">
        <is>
          <t>raxmonova marjona 42.docx</t>
        </is>
      </c>
    </row>
    <row r="251" ht="30" customHeight="1">
      <c r="A251" s="19" t="n">
        <v>46267</v>
      </c>
      <c r="B251" s="28" t="inlineStr">
        <is>
          <t>N</t>
        </is>
      </c>
      <c r="C251" s="10">
        <f>COUNTIF($B$13:B251,B251)</f>
        <v/>
      </c>
      <c r="D251" s="20" t="inlineStr">
        <is>
          <t>Raxmonova</t>
        </is>
      </c>
      <c r="E251" s="20" t="inlineStr">
        <is>
          <t>Shahrizoda</t>
        </is>
      </c>
      <c r="F251" s="21" t="inlineStr">
        <is>
          <t>To'lqin qizi</t>
        </is>
      </c>
      <c r="G251" s="21">
        <f>Таблица1[[#This Row],[Familiyasi]]&amp;" "&amp;Таблица1[[#This Row],[Ismi]]&amp;" "&amp;Таблица1[[#This Row],[Otasining ismi]]</f>
        <v/>
      </c>
      <c r="H251" s="9" t="inlineStr">
        <is>
          <t>04.10.2008</t>
        </is>
      </c>
      <c r="I251" s="21" t="inlineStr">
        <is>
          <t>ae4172861</t>
        </is>
      </c>
      <c r="J251" s="9" t="inlineStr">
        <is>
          <t>60410085590088</t>
        </is>
      </c>
      <c r="K251" s="21" t="inlineStr">
        <is>
          <t>12.09.2025</t>
        </is>
      </c>
      <c r="L251" s="21" t="inlineStr">
        <is>
          <t>um 03754257</t>
        </is>
      </c>
      <c r="M251" s="21" t="inlineStr">
        <is>
          <t>30-sonli umumiy o'rta ta'lim maktabi</t>
        </is>
      </c>
      <c r="N251" s="21" t="inlineStr">
        <is>
          <t>hamshiralik ishi - 3 yillik</t>
        </is>
      </c>
      <c r="O251" s="21" t="inlineStr">
        <is>
          <t>2026</t>
        </is>
      </c>
      <c r="P251" s="9" t="inlineStr">
        <is>
          <t>22</t>
        </is>
      </c>
      <c r="Q251" s="22" t="inlineStr">
        <is>
          <t>raxmonova shahrizoda 22.docx</t>
        </is>
      </c>
    </row>
    <row r="252" ht="30" customHeight="1">
      <c r="A252" s="19" t="n">
        <v>46267</v>
      </c>
      <c r="B252" s="28" t="inlineStr">
        <is>
          <t>N</t>
        </is>
      </c>
      <c r="C252" s="10">
        <f>COUNTIF($B$13:B252,B252)</f>
        <v/>
      </c>
      <c r="D252" s="20" t="inlineStr">
        <is>
          <t>Rerajaboliyeva</t>
        </is>
      </c>
      <c r="E252" s="20" t="inlineStr">
        <is>
          <t>Marjona</t>
        </is>
      </c>
      <c r="F252" s="21" t="inlineStr">
        <is>
          <t>Muxtorovna</t>
        </is>
      </c>
      <c r="G252" s="21">
        <f>Таблица1[[#This Row],[Familiyasi]]&amp;" "&amp;Таблица1[[#This Row],[Ismi]]&amp;" "&amp;Таблица1[[#This Row],[Otasining ismi]]</f>
        <v/>
      </c>
      <c r="H252" s="9" t="inlineStr">
        <is>
          <t>21.08.2008</t>
        </is>
      </c>
      <c r="I252" s="21" t="inlineStr">
        <is>
          <t>ae4010017</t>
        </is>
      </c>
      <c r="J252" s="9" t="inlineStr">
        <is>
          <t>62108085680082</t>
        </is>
      </c>
      <c r="K252" s="21" t="inlineStr">
        <is>
          <t>03.09.2025</t>
        </is>
      </c>
      <c r="L252" s="21" t="inlineStr">
        <is>
          <t>um 03728644</t>
        </is>
      </c>
      <c r="M252" s="21" t="inlineStr">
        <is>
          <t>21-sonli umumiy o'rta ta'lim maktabi</t>
        </is>
      </c>
      <c r="N252" s="21" t="inlineStr">
        <is>
          <t>hamshiralik ishi - 3 yillik</t>
        </is>
      </c>
      <c r="O252" s="21" t="inlineStr">
        <is>
          <t>2026</t>
        </is>
      </c>
      <c r="P252" s="9" t="inlineStr">
        <is>
          <t>53</t>
        </is>
      </c>
      <c r="Q252" s="22" t="inlineStr">
        <is>
          <t>rejaboliyeva marjona 53.docx</t>
        </is>
      </c>
    </row>
    <row r="253" ht="30" customHeight="1">
      <c r="A253" s="19" t="n">
        <v>46267</v>
      </c>
      <c r="B253" s="28" t="inlineStr">
        <is>
          <t>N</t>
        </is>
      </c>
      <c r="C253" s="10">
        <f>COUNTIF($B$13:B253,B253)</f>
        <v/>
      </c>
      <c r="D253" s="20" t="inlineStr">
        <is>
          <t>Ro'ziyeva</t>
        </is>
      </c>
      <c r="E253" s="20" t="inlineStr">
        <is>
          <t>Zuxra</t>
        </is>
      </c>
      <c r="F253" s="21" t="inlineStr">
        <is>
          <t>Furqat qizi</t>
        </is>
      </c>
      <c r="G253" s="21">
        <f>Таблица1[[#This Row],[Familiyasi]]&amp;" "&amp;Таблица1[[#This Row],[Ismi]]&amp;" "&amp;Таблица1[[#This Row],[Otasining ismi]]</f>
        <v/>
      </c>
      <c r="H253" s="9" t="inlineStr">
        <is>
          <t>10.10.1995</t>
        </is>
      </c>
      <c r="I253" s="21" t="inlineStr">
        <is>
          <t>ab9722774</t>
        </is>
      </c>
      <c r="J253" s="9" t="inlineStr">
        <is>
          <t>41010952640071</t>
        </is>
      </c>
      <c r="K253" s="21" t="inlineStr">
        <is>
          <t>30.05.2018</t>
        </is>
      </c>
      <c r="L253" s="21" t="inlineStr">
        <is>
          <t>k 5018068</t>
        </is>
      </c>
      <c r="M253" s="21" t="inlineStr">
        <is>
          <t>kitob iqtisodiyot kolleji</t>
        </is>
      </c>
      <c r="N253" s="21" t="inlineStr">
        <is>
          <t>hamshiralik ishi - 2 yillik</t>
        </is>
      </c>
      <c r="O253" s="21" t="inlineStr">
        <is>
          <t>2018</t>
        </is>
      </c>
      <c r="P253" s="9" t="inlineStr">
        <is>
          <t>144</t>
        </is>
      </c>
      <c r="Q253" s="22" t="inlineStr">
        <is>
          <t>ro'ziyeva zuxra 144.docx</t>
        </is>
      </c>
    </row>
    <row r="254" ht="30" customHeight="1">
      <c r="A254" s="19" t="n">
        <v>46267</v>
      </c>
      <c r="B254" s="28" t="inlineStr">
        <is>
          <t>N</t>
        </is>
      </c>
      <c r="C254" s="10">
        <f>COUNTIF($B$13:B254,B254)</f>
        <v/>
      </c>
      <c r="D254" s="20" t="inlineStr">
        <is>
          <t>Rustamova</t>
        </is>
      </c>
      <c r="E254" s="20" t="inlineStr">
        <is>
          <t>Farzona</t>
        </is>
      </c>
      <c r="F254" s="21" t="n"/>
      <c r="G254" s="21">
        <f>Таблица1[[#This Row],[Familiyasi]]&amp;" "&amp;Таблица1[[#This Row],[Ismi]]&amp;" "&amp;Таблица1[[#This Row],[Otasining ismi]]</f>
        <v/>
      </c>
      <c r="H254" s="9" t="inlineStr"/>
      <c r="I254" s="21" t="inlineStr"/>
      <c r="J254" s="9" t="inlineStr"/>
      <c r="K254" s="21" t="inlineStr"/>
      <c r="L254" s="21" t="inlineStr"/>
      <c r="M254" s="21" t="inlineStr"/>
      <c r="N254" s="21" t="inlineStr">
        <is>
          <t>hamshiralik ishi - 3 yillik</t>
        </is>
      </c>
      <c r="O254" s="21" t="inlineStr"/>
      <c r="P254" s="9" t="inlineStr">
        <is>
          <t>24</t>
        </is>
      </c>
      <c r="Q254" s="22" t="inlineStr"/>
    </row>
    <row r="255" ht="30" customHeight="1">
      <c r="A255" s="19" t="n">
        <v>46267</v>
      </c>
      <c r="B255" s="28" t="inlineStr">
        <is>
          <t>N</t>
        </is>
      </c>
      <c r="C255" s="10">
        <f>COUNTIF($B$13:B255,B255)</f>
        <v/>
      </c>
      <c r="D255" s="20" t="inlineStr">
        <is>
          <t>Sa'dullayeva</t>
        </is>
      </c>
      <c r="E255" s="20" t="inlineStr">
        <is>
          <t>Shahzoda</t>
        </is>
      </c>
      <c r="F255" s="21" t="inlineStr">
        <is>
          <t>Bankiddinovna</t>
        </is>
      </c>
      <c r="G255" s="21">
        <f>Таблица1[[#This Row],[Familiyasi]]&amp;" "&amp;Таблица1[[#This Row],[Ismi]]&amp;" "&amp;Таблица1[[#This Row],[Otasining ismi]]</f>
        <v/>
      </c>
      <c r="H255" s="9" t="inlineStr">
        <is>
          <t>12.11.2006</t>
        </is>
      </c>
      <c r="I255" s="21" t="inlineStr">
        <is>
          <t>ad4838470</t>
        </is>
      </c>
      <c r="J255" s="9" t="inlineStr">
        <is>
          <t>61211065590103</t>
        </is>
      </c>
      <c r="K255" s="21" t="inlineStr">
        <is>
          <t>11.10.2023</t>
        </is>
      </c>
      <c r="L255" s="21" t="inlineStr">
        <is>
          <t>um 03296717</t>
        </is>
      </c>
      <c r="M255" s="21" t="inlineStr">
        <is>
          <t>1-sonli umumiy o'rta ta'lim maktabi</t>
        </is>
      </c>
      <c r="N255" s="21" t="inlineStr">
        <is>
          <t>hamshiralik ishi - 3 yillik</t>
        </is>
      </c>
      <c r="O255" s="21" t="inlineStr">
        <is>
          <t>2026</t>
        </is>
      </c>
      <c r="P255" s="9" t="inlineStr">
        <is>
          <t>177</t>
        </is>
      </c>
      <c r="Q255" s="22" t="inlineStr">
        <is>
          <t>sa’dullayeva shahzoda 177.docx</t>
        </is>
      </c>
    </row>
    <row r="256" ht="30" customHeight="1">
      <c r="A256" s="19" t="n">
        <v>46267</v>
      </c>
      <c r="B256" s="29" t="inlineStr">
        <is>
          <t>N</t>
        </is>
      </c>
      <c r="C256" s="10">
        <f>COUNTIF($B$13:B256,B256)</f>
        <v/>
      </c>
      <c r="D256" s="20" t="inlineStr">
        <is>
          <t>Saidova</t>
        </is>
      </c>
      <c r="E256" s="20" t="inlineStr">
        <is>
          <t>Nigina</t>
        </is>
      </c>
      <c r="F256" s="21" t="inlineStr">
        <is>
          <t>Mirzoid qizi</t>
        </is>
      </c>
      <c r="G256" s="21">
        <f>Таблица1[[#This Row],[Familiyasi]]&amp;" "&amp;Таблица1[[#This Row],[Ismi]]&amp;" "&amp;Таблица1[[#This Row],[Otasining ismi]]</f>
        <v/>
      </c>
      <c r="H256" s="9" t="inlineStr">
        <is>
          <t>10.09.2008</t>
        </is>
      </c>
      <c r="I256" s="21" t="inlineStr">
        <is>
          <t>ae4251409</t>
        </is>
      </c>
      <c r="J256" s="9" t="inlineStr">
        <is>
          <t>61009085680029</t>
        </is>
      </c>
      <c r="K256" s="21" t="inlineStr">
        <is>
          <t>18.09.2025</t>
        </is>
      </c>
      <c r="L256" s="21" t="inlineStr">
        <is>
          <t>um 03728645</t>
        </is>
      </c>
      <c r="M256" s="21" t="inlineStr">
        <is>
          <t>21-sonli umumiy o'rta ta'lim maktabi</t>
        </is>
      </c>
      <c r="N256" s="21" t="inlineStr">
        <is>
          <t>hamshiralik ishi - 3 yillik</t>
        </is>
      </c>
      <c r="O256" s="21" t="inlineStr">
        <is>
          <t>2026</t>
        </is>
      </c>
      <c r="P256" s="9" t="inlineStr">
        <is>
          <t>51</t>
        </is>
      </c>
      <c r="Q256" s="22" t="inlineStr">
        <is>
          <t>saidova nigina   51.docx</t>
        </is>
      </c>
    </row>
    <row r="257" ht="30" customHeight="1">
      <c r="A257" s="19" t="n">
        <v>46267</v>
      </c>
      <c r="B257" s="28" t="inlineStr">
        <is>
          <t>N</t>
        </is>
      </c>
      <c r="C257" s="10">
        <f>COUNTIF($B$13:B257,B257)</f>
        <v/>
      </c>
      <c r="D257" s="34" t="inlineStr">
        <is>
          <t>Samatova</t>
        </is>
      </c>
      <c r="E257" s="34" t="inlineStr">
        <is>
          <t>Oydin</t>
        </is>
      </c>
      <c r="F257" s="31" t="inlineStr">
        <is>
          <t>Sulaymonovna</t>
        </is>
      </c>
      <c r="G257" s="31">
        <f>Таблица1[[#This Row],[Familiyasi]]&amp;" "&amp;Таблица1[[#This Row],[Ismi]]&amp;" "&amp;Таблица1[[#This Row],[Otasining ismi]]</f>
        <v/>
      </c>
      <c r="H257" s="9" t="inlineStr">
        <is>
          <t>29.10.1990</t>
        </is>
      </c>
      <c r="I257" s="21" t="inlineStr">
        <is>
          <t>ad8980430</t>
        </is>
      </c>
      <c r="J257" s="9" t="inlineStr">
        <is>
          <t>42910905720012</t>
        </is>
      </c>
      <c r="K257" s="21" t="inlineStr">
        <is>
          <t>11.10.2024</t>
        </is>
      </c>
      <c r="L257" s="21" t="inlineStr">
        <is>
          <t>o'r-sh 0846677</t>
        </is>
      </c>
      <c r="M257" s="21" t="inlineStr">
        <is>
          <t>qashqadaryo jiloyati chiroqchi tumanidagi № 14 maktabi</t>
        </is>
      </c>
      <c r="N257" s="21" t="inlineStr">
        <is>
          <t>farmatsiya ishi</t>
        </is>
      </c>
      <c r="O257" s="21" t="inlineStr">
        <is>
          <t>2008</t>
        </is>
      </c>
      <c r="P257" s="9" t="inlineStr">
        <is>
          <t>146</t>
        </is>
      </c>
      <c r="Q257" s="22" t="inlineStr">
        <is>
          <t>samatova oydin n146.docx</t>
        </is>
      </c>
    </row>
    <row r="258" ht="30" customHeight="1">
      <c r="A258" s="19" t="n">
        <v>46267</v>
      </c>
      <c r="B258" s="28" t="inlineStr">
        <is>
          <t>N</t>
        </is>
      </c>
      <c r="C258" s="10">
        <f>COUNTIF($B$13:B258,B258)</f>
        <v/>
      </c>
      <c r="D258" s="20" t="inlineStr">
        <is>
          <t>Sanaqulova</t>
        </is>
      </c>
      <c r="E258" s="20" t="inlineStr">
        <is>
          <t>Sh</t>
        </is>
      </c>
      <c r="F258" s="21" t="n"/>
      <c r="G258" s="21">
        <f>Таблица1[[#This Row],[Familiyasi]]&amp;" "&amp;Таблица1[[#This Row],[Ismi]]&amp;" "&amp;Таблица1[[#This Row],[Otasining ismi]]</f>
        <v/>
      </c>
      <c r="H258" s="9" t="n"/>
      <c r="I258" s="21" t="n"/>
      <c r="J258" s="9" t="n"/>
      <c r="K258" s="21" t="n"/>
      <c r="L258" s="21" t="n"/>
      <c r="M258" s="21" t="n"/>
      <c r="N258" s="21" t="n"/>
      <c r="O258" s="21" t="n"/>
      <c r="P258" s="9" t="n"/>
      <c r="Q258" s="22" t="n"/>
    </row>
    <row r="259" ht="30" customHeight="1">
      <c r="A259" s="19" t="n">
        <v>46267</v>
      </c>
      <c r="B259" s="28" t="inlineStr">
        <is>
          <t>N</t>
        </is>
      </c>
      <c r="C259" s="10">
        <f>COUNTIF($B$13:B259,B259)</f>
        <v/>
      </c>
      <c r="D259" s="20" t="inlineStr">
        <is>
          <t>Saparova</t>
        </is>
      </c>
      <c r="E259" s="20" t="inlineStr">
        <is>
          <t>Vasila</t>
        </is>
      </c>
      <c r="F259" s="21" t="inlineStr">
        <is>
          <t>Maxmadikulovna</t>
        </is>
      </c>
      <c r="G259" s="21">
        <f>Таблица1[[#This Row],[Familiyasi]]&amp;" "&amp;Таблица1[[#This Row],[Ismi]]&amp;" "&amp;Таблица1[[#This Row],[Otasining ismi]]</f>
        <v/>
      </c>
      <c r="H259" s="9" t="inlineStr">
        <is>
          <t>11.06.1987</t>
        </is>
      </c>
      <c r="I259" s="21" t="inlineStr">
        <is>
          <t>ab9392983</t>
        </is>
      </c>
      <c r="J259" s="9" t="inlineStr">
        <is>
          <t>41106872560055</t>
        </is>
      </c>
      <c r="K259" s="21" t="inlineStr">
        <is>
          <t>24.04.2018</t>
        </is>
      </c>
      <c r="L259" s="21" t="inlineStr"/>
      <c r="M259" s="21" t="inlineStr"/>
      <c r="N259" s="21" t="inlineStr">
        <is>
          <t>hamshiralik ishi - 3 yillik</t>
        </is>
      </c>
      <c r="O259" s="21" t="inlineStr"/>
      <c r="P259" s="9" t="inlineStr">
        <is>
          <t>235</t>
        </is>
      </c>
      <c r="Q259" s="22" t="inlineStr">
        <is>
          <t>saparova vasila  235.docx</t>
        </is>
      </c>
    </row>
    <row r="260" ht="30" customHeight="1">
      <c r="A260" s="19" t="n">
        <v>46267</v>
      </c>
      <c r="B260" s="28" t="inlineStr">
        <is>
          <t>N</t>
        </is>
      </c>
      <c r="C260" s="10">
        <f>COUNTIF($B$13:B260,B260)</f>
        <v/>
      </c>
      <c r="D260" s="20" t="inlineStr">
        <is>
          <t>Saydalimova</t>
        </is>
      </c>
      <c r="E260" s="20" t="inlineStr">
        <is>
          <t>Ruxshona</t>
        </is>
      </c>
      <c r="F260" s="21" t="inlineStr">
        <is>
          <t>Sharofiddin qizi</t>
        </is>
      </c>
      <c r="G260" s="21">
        <f>Таблица1[[#This Row],[Familiyasi]]&amp;" "&amp;Таблица1[[#This Row],[Ismi]]&amp;" "&amp;Таблица1[[#This Row],[Otasining ismi]]</f>
        <v/>
      </c>
      <c r="H260" s="9" t="inlineStr">
        <is>
          <t>18.07.2008</t>
        </is>
      </c>
      <c r="I260" s="21" t="inlineStr">
        <is>
          <t>ae3352294</t>
        </is>
      </c>
      <c r="J260" s="9" t="inlineStr">
        <is>
          <t>61807085590034</t>
        </is>
      </c>
      <c r="K260" s="21" t="inlineStr">
        <is>
          <t>10.07.2025</t>
        </is>
      </c>
      <c r="L260" s="21" t="inlineStr">
        <is>
          <t>um 03754198</t>
        </is>
      </c>
      <c r="M260" s="21" t="inlineStr">
        <is>
          <t>29-sonli umumiy o'rta ta'lim maktabi</t>
        </is>
      </c>
      <c r="N260" s="21" t="inlineStr">
        <is>
          <t>hamshiralik ishi - 3 yillik</t>
        </is>
      </c>
      <c r="O260" s="21" t="inlineStr">
        <is>
          <t>2026</t>
        </is>
      </c>
      <c r="P260" s="9" t="inlineStr">
        <is>
          <t>74</t>
        </is>
      </c>
      <c r="Q260" s="22" t="inlineStr">
        <is>
          <t>saydalimova ruxshona 74.docx</t>
        </is>
      </c>
    </row>
    <row r="261" ht="30" customHeight="1">
      <c r="A261" s="19" t="n">
        <v>46267</v>
      </c>
      <c r="B261" s="28" t="inlineStr">
        <is>
          <t>N</t>
        </is>
      </c>
      <c r="C261" s="10">
        <f>COUNTIF($B$13:B261,B261)</f>
        <v/>
      </c>
      <c r="D261" s="20" t="inlineStr">
        <is>
          <t>Saydayeva</t>
        </is>
      </c>
      <c r="E261" s="20" t="inlineStr">
        <is>
          <t>Gulxayo</t>
        </is>
      </c>
      <c r="F261" s="21" t="inlineStr">
        <is>
          <t>Zubaydullo qizi</t>
        </is>
      </c>
      <c r="G261" s="21">
        <f>Таблица1[[#This Row],[Familiyasi]]&amp;" "&amp;Таблица1[[#This Row],[Ismi]]&amp;" "&amp;Таблица1[[#This Row],[Otasining ismi]]</f>
        <v/>
      </c>
      <c r="H261" s="9" t="inlineStr">
        <is>
          <t>23.09.2008</t>
        </is>
      </c>
      <c r="I261" s="21" t="inlineStr">
        <is>
          <t>ad9808893</t>
        </is>
      </c>
      <c r="J261" s="9" t="inlineStr">
        <is>
          <t>62309085680087</t>
        </is>
      </c>
      <c r="K261" s="21" t="inlineStr">
        <is>
          <t>13.12.2024</t>
        </is>
      </c>
      <c r="L261" s="21" t="inlineStr">
        <is>
          <t>um 03729351</t>
        </is>
      </c>
      <c r="M261" s="21" t="inlineStr">
        <is>
          <t>46-sonli umumiy o'rta ta'lim maktabi</t>
        </is>
      </c>
      <c r="N261" s="21" t="inlineStr">
        <is>
          <t>hamshiralik ishi - 3 yillik</t>
        </is>
      </c>
      <c r="O261" s="21" t="inlineStr">
        <is>
          <t>2026</t>
        </is>
      </c>
      <c r="P261" s="9" t="inlineStr">
        <is>
          <t>34</t>
        </is>
      </c>
      <c r="Q261" s="22" t="inlineStr">
        <is>
          <t>saydayeva gulhayo 34.docx</t>
        </is>
      </c>
    </row>
    <row r="262" ht="30" customHeight="1">
      <c r="A262" s="19" t="n">
        <v>46267</v>
      </c>
      <c r="B262" s="28" t="inlineStr">
        <is>
          <t>N</t>
        </is>
      </c>
      <c r="C262" s="10">
        <f>COUNTIF($B$13:B262,B262)</f>
        <v/>
      </c>
      <c r="D262" s="20" t="inlineStr">
        <is>
          <t>Sayfillayeva</t>
        </is>
      </c>
      <c r="E262" s="20" t="inlineStr">
        <is>
          <t>Shodiya</t>
        </is>
      </c>
      <c r="F262" s="21" t="inlineStr">
        <is>
          <t>Sayfilla qizi</t>
        </is>
      </c>
      <c r="G262" s="21">
        <f>Таблица1[[#This Row],[Familiyasi]]&amp;" "&amp;Таблица1[[#This Row],[Ismi]]&amp;" "&amp;Таблица1[[#This Row],[Otasining ismi]]</f>
        <v/>
      </c>
      <c r="H262" s="9" t="inlineStr">
        <is>
          <t>22.03.2008</t>
        </is>
      </c>
      <c r="I262" s="21" t="inlineStr">
        <is>
          <t>ae4385111</t>
        </is>
      </c>
      <c r="J262" s="9" t="inlineStr">
        <is>
          <t>62203085730015</t>
        </is>
      </c>
      <c r="K262" s="21" t="inlineStr">
        <is>
          <t>23.05.2022</t>
        </is>
      </c>
      <c r="L262" s="21" t="inlineStr">
        <is>
          <t>um 03757340</t>
        </is>
      </c>
      <c r="M262" s="21" t="inlineStr">
        <is>
          <t>45-sonli umumiy o'rta ta'lim maktabi</t>
        </is>
      </c>
      <c r="N262" s="21" t="inlineStr">
        <is>
          <t>hamshiralik ishi - 3 yillik</t>
        </is>
      </c>
      <c r="O262" s="21" t="inlineStr">
        <is>
          <t>2026</t>
        </is>
      </c>
      <c r="P262" s="9" t="inlineStr">
        <is>
          <t>3</t>
        </is>
      </c>
      <c r="Q262" s="22" t="inlineStr">
        <is>
          <t>sayfillayeva shodiyona 03.docx</t>
        </is>
      </c>
    </row>
    <row r="263" ht="30" customHeight="1">
      <c r="A263" s="19" t="n">
        <v>46267</v>
      </c>
      <c r="B263" s="28" t="inlineStr">
        <is>
          <t>N</t>
        </is>
      </c>
      <c r="C263" s="10">
        <f>COUNTIF($B$13:B263,B263)</f>
        <v/>
      </c>
      <c r="D263" s="20" t="inlineStr">
        <is>
          <t>Shavkatova</t>
        </is>
      </c>
      <c r="E263" s="20" t="inlineStr">
        <is>
          <t>Madina</t>
        </is>
      </c>
      <c r="F263" s="21" t="inlineStr">
        <is>
          <t>Shuxrat qizi</t>
        </is>
      </c>
      <c r="G263" s="21">
        <f>Таблица1[[#This Row],[Familiyasi]]&amp;" "&amp;Таблица1[[#This Row],[Ismi]]&amp;" "&amp;Таблица1[[#This Row],[Otasining ismi]]</f>
        <v/>
      </c>
      <c r="H263" s="9" t="inlineStr">
        <is>
          <t>03.06.2008</t>
        </is>
      </c>
      <c r="I263" s="21" t="inlineStr">
        <is>
          <t>ad6402924</t>
        </is>
      </c>
      <c r="J263" s="9" t="inlineStr">
        <is>
          <t>60306085730033</t>
        </is>
      </c>
      <c r="K263" s="21" t="inlineStr">
        <is>
          <t>07.03.2024</t>
        </is>
      </c>
      <c r="L263" s="21" t="inlineStr"/>
      <c r="M263" s="21" t="inlineStr"/>
      <c r="N263" s="21" t="inlineStr">
        <is>
          <t>hamshiralik ishi</t>
        </is>
      </c>
      <c r="O263" s="21" t="inlineStr"/>
      <c r="P263" s="9" t="inlineStr">
        <is>
          <t>39</t>
        </is>
      </c>
      <c r="Q263" s="22" t="inlineStr">
        <is>
          <t>shavkatova madina 39  3 oylik kursga utdi.docx</t>
        </is>
      </c>
    </row>
    <row r="264" ht="30" customHeight="1">
      <c r="A264" s="19" t="n">
        <v>46267</v>
      </c>
      <c r="B264" s="28" t="inlineStr">
        <is>
          <t>N</t>
        </is>
      </c>
      <c r="C264" s="10">
        <f>COUNTIF($B$13:B264,B264)</f>
        <v/>
      </c>
      <c r="D264" s="20" t="inlineStr">
        <is>
          <t>Shermatova</t>
        </is>
      </c>
      <c r="E264" s="20" t="inlineStr">
        <is>
          <t>Xumora</t>
        </is>
      </c>
      <c r="F264" s="21" t="inlineStr">
        <is>
          <t>Samandar qizi</t>
        </is>
      </c>
      <c r="G264" s="21">
        <f>Таблица1[[#This Row],[Familiyasi]]&amp;" "&amp;Таблица1[[#This Row],[Ismi]]&amp;" "&amp;Таблица1[[#This Row],[Otasining ismi]]</f>
        <v/>
      </c>
      <c r="H264" s="9" t="inlineStr">
        <is>
          <t>19.05.2008</t>
        </is>
      </c>
      <c r="I264" s="21" t="inlineStr">
        <is>
          <t>ad8833585</t>
        </is>
      </c>
      <c r="J264" s="9" t="inlineStr">
        <is>
          <t>61905085680127</t>
        </is>
      </c>
      <c r="K264" s="21" t="inlineStr">
        <is>
          <t>02.10.2024</t>
        </is>
      </c>
      <c r="L264" s="21" t="inlineStr">
        <is>
          <t>um 03273675</t>
        </is>
      </c>
      <c r="M264" s="21" t="inlineStr">
        <is>
          <t>12-sonli umumiy o'rta ta'lim maktabi</t>
        </is>
      </c>
      <c r="N264" s="21" t="inlineStr">
        <is>
          <t>hamshiralik ishi - 3 yillik</t>
        </is>
      </c>
      <c r="O264" s="21" t="inlineStr">
        <is>
          <t>2025</t>
        </is>
      </c>
      <c r="P264" s="9" t="inlineStr">
        <is>
          <t>151</t>
        </is>
      </c>
      <c r="Q264" s="22" t="inlineStr">
        <is>
          <t>shermatova xumora n151.docx</t>
        </is>
      </c>
    </row>
    <row r="265" ht="30" customHeight="1">
      <c r="A265" s="19" t="n">
        <v>46267</v>
      </c>
      <c r="B265" s="28" t="inlineStr">
        <is>
          <t>N</t>
        </is>
      </c>
      <c r="C265" s="10">
        <f>COUNTIF($B$13:B265,B265)</f>
        <v/>
      </c>
      <c r="D265" s="20" t="inlineStr">
        <is>
          <t>Shodiyeva</t>
        </is>
      </c>
      <c r="E265" s="20" t="inlineStr">
        <is>
          <t>Shabnam</t>
        </is>
      </c>
      <c r="F265" s="21" t="inlineStr">
        <is>
          <t>Jasur qizi</t>
        </is>
      </c>
      <c r="G265" s="21">
        <f>Таблица1[[#This Row],[Familiyasi]]&amp;" "&amp;Таблица1[[#This Row],[Ismi]]&amp;" "&amp;Таблица1[[#This Row],[Otasining ismi]]</f>
        <v/>
      </c>
      <c r="H265" s="9" t="inlineStr">
        <is>
          <t>16.12.2008</t>
        </is>
      </c>
      <c r="I265" s="21" t="inlineStr">
        <is>
          <t>ae5872532</t>
        </is>
      </c>
      <c r="J265" s="9" t="inlineStr">
        <is>
          <t>61612085680052</t>
        </is>
      </c>
      <c r="K265" s="21" t="inlineStr">
        <is>
          <t>15.01.2026</t>
        </is>
      </c>
      <c r="L265" s="21" t="inlineStr">
        <is>
          <t>um 03729874</t>
        </is>
      </c>
      <c r="M265" s="21" t="inlineStr">
        <is>
          <t>63-sonli umumiy o'rta ta'lim maktabi</t>
        </is>
      </c>
      <c r="N265" s="21" t="inlineStr">
        <is>
          <t>hamshiralik ishi - 3 yillik</t>
        </is>
      </c>
      <c r="O265" s="21" t="inlineStr">
        <is>
          <t>2026</t>
        </is>
      </c>
      <c r="P265" s="9" t="inlineStr">
        <is>
          <t>99</t>
        </is>
      </c>
      <c r="Q265" s="22" t="inlineStr">
        <is>
          <t>shodiyeva shabnam 99.docx</t>
        </is>
      </c>
    </row>
    <row r="266" ht="30" customHeight="1">
      <c r="A266" s="19" t="n">
        <v>46267</v>
      </c>
      <c r="B266" s="28" t="inlineStr">
        <is>
          <t>N</t>
        </is>
      </c>
      <c r="C266" s="10">
        <f>COUNTIF($B$13:B266,B266)</f>
        <v/>
      </c>
      <c r="D266" s="20" t="inlineStr">
        <is>
          <t>Shodmonova</t>
        </is>
      </c>
      <c r="E266" s="20" t="inlineStr">
        <is>
          <t>E'zoza</t>
        </is>
      </c>
      <c r="F266" s="21" t="inlineStr">
        <is>
          <t>Sarvar qizi</t>
        </is>
      </c>
      <c r="G266" s="21">
        <f>Таблица1[[#This Row],[Familiyasi]]&amp;" "&amp;Таблица1[[#This Row],[Ismi]]&amp;" "&amp;Таблица1[[#This Row],[Otasining ismi]]</f>
        <v/>
      </c>
      <c r="H266" s="9" t="inlineStr">
        <is>
          <t>08.09.2008</t>
        </is>
      </c>
      <c r="I266" s="21" t="inlineStr">
        <is>
          <t>ae1284740</t>
        </is>
      </c>
      <c r="J266" s="9" t="inlineStr"/>
      <c r="K266" s="21" t="inlineStr">
        <is>
          <t>20.01.2025</t>
        </is>
      </c>
      <c r="L266" s="21" t="inlineStr">
        <is>
          <t>um 03717017</t>
        </is>
      </c>
      <c r="M266" s="21" t="inlineStr">
        <is>
          <t>3-sonli umumiy o'rta ta'lim maktabi</t>
        </is>
      </c>
      <c r="N266" s="21" t="inlineStr">
        <is>
          <t>hamshiralik ishi - 3 yillik</t>
        </is>
      </c>
      <c r="O266" s="21" t="inlineStr">
        <is>
          <t>2026</t>
        </is>
      </c>
      <c r="P266" s="9" t="inlineStr">
        <is>
          <t>213</t>
        </is>
      </c>
      <c r="Q266" s="22" t="inlineStr">
        <is>
          <t>shodmonova e'zoza 213.docx</t>
        </is>
      </c>
    </row>
    <row r="267" ht="30" customHeight="1">
      <c r="A267" s="19" t="n">
        <v>46267</v>
      </c>
      <c r="B267" s="28" t="inlineStr">
        <is>
          <t>N</t>
        </is>
      </c>
      <c r="C267" s="10">
        <f>COUNTIF($B$13:B267,B267)</f>
        <v/>
      </c>
      <c r="D267" s="20" t="inlineStr">
        <is>
          <t>Shog'dorova</t>
        </is>
      </c>
      <c r="E267" s="20" t="inlineStr">
        <is>
          <t>Marjona</t>
        </is>
      </c>
      <c r="F267" s="21" t="inlineStr">
        <is>
          <t>Eshtemir qizi</t>
        </is>
      </c>
      <c r="G267" s="21">
        <f>Таблица1[[#This Row],[Familiyasi]]&amp;" "&amp;Таблица1[[#This Row],[Ismi]]&amp;" "&amp;Таблица1[[#This Row],[Otasining ismi]]</f>
        <v/>
      </c>
      <c r="H267" s="9" t="inlineStr">
        <is>
          <t>30.06.2007</t>
        </is>
      </c>
      <c r="I267" s="21" t="inlineStr">
        <is>
          <t>ad9143185</t>
        </is>
      </c>
      <c r="J267" s="9" t="inlineStr">
        <is>
          <t>63006075590028</t>
        </is>
      </c>
      <c r="K267" s="21" t="inlineStr">
        <is>
          <t>24.10.2024</t>
        </is>
      </c>
      <c r="L267" s="21" t="inlineStr">
        <is>
          <t>um 03263384</t>
        </is>
      </c>
      <c r="M267" s="21" t="inlineStr">
        <is>
          <t>21-sonli umumiy o'rta ta'lim maktabi</t>
        </is>
      </c>
      <c r="N267" s="21" t="inlineStr">
        <is>
          <t>hamshiralik ishi - 3 yillik</t>
        </is>
      </c>
      <c r="O267" s="21" t="inlineStr">
        <is>
          <t>2025</t>
        </is>
      </c>
      <c r="P267" s="9" t="inlineStr">
        <is>
          <t>91</t>
        </is>
      </c>
      <c r="Q267" s="22" t="inlineStr">
        <is>
          <t>shog'dorova marjona 91.docx</t>
        </is>
      </c>
    </row>
    <row r="268" ht="30" customHeight="1">
      <c r="A268" s="19" t="n">
        <v>46267</v>
      </c>
      <c r="B268" s="28" t="inlineStr">
        <is>
          <t>N</t>
        </is>
      </c>
      <c r="C268" s="10">
        <f>COUNTIF($B$13:B268,B268)</f>
        <v/>
      </c>
      <c r="D268" s="20" t="inlineStr">
        <is>
          <t>Sidiqjonova</t>
        </is>
      </c>
      <c r="E268" s="20" t="inlineStr">
        <is>
          <t>Fotimaxon</t>
        </is>
      </c>
      <c r="F268" s="21" t="inlineStr">
        <is>
          <t>Ilhomjon qizi</t>
        </is>
      </c>
      <c r="G268" s="21">
        <f>Таблица1[[#This Row],[Familiyasi]]&amp;" "&amp;Таблица1[[#This Row],[Ismi]]&amp;" "&amp;Таблица1[[#This Row],[Otasining ismi]]</f>
        <v/>
      </c>
      <c r="H268" s="9" t="inlineStr">
        <is>
          <t>23.11.2008</t>
        </is>
      </c>
      <c r="I268" s="21" t="inlineStr">
        <is>
          <t>ae2837109</t>
        </is>
      </c>
      <c r="J268" s="9" t="inlineStr">
        <is>
          <t>62311085590028</t>
        </is>
      </c>
      <c r="K268" s="21" t="inlineStr">
        <is>
          <t>28.05.2025</t>
        </is>
      </c>
      <c r="L268" s="21" t="inlineStr">
        <is>
          <t>um 03729049</t>
        </is>
      </c>
      <c r="M268" s="21" t="inlineStr">
        <is>
          <t>34-sonli umumiy o'rta ta'lim maktabi</t>
        </is>
      </c>
      <c r="N268" s="21" t="inlineStr">
        <is>
          <t>hamshiralik ishi - 3 yillik</t>
        </is>
      </c>
      <c r="O268" s="21" t="inlineStr">
        <is>
          <t>2026</t>
        </is>
      </c>
      <c r="P268" s="9" t="inlineStr">
        <is>
          <t>35</t>
        </is>
      </c>
      <c r="Q268" s="22" t="inlineStr">
        <is>
          <t>sidiqjonova fotima 35.docx</t>
        </is>
      </c>
    </row>
    <row r="269" ht="30" customHeight="1">
      <c r="A269" s="19" t="n">
        <v>46267</v>
      </c>
      <c r="B269" s="28" t="inlineStr">
        <is>
          <t>N</t>
        </is>
      </c>
      <c r="C269" s="10">
        <f>COUNTIF($B$13:B269,B269)</f>
        <v/>
      </c>
      <c r="D269" s="20" t="inlineStr">
        <is>
          <t>Sidiqjonova</t>
        </is>
      </c>
      <c r="E269" s="20" t="inlineStr">
        <is>
          <t>Zuxra</t>
        </is>
      </c>
      <c r="F269" s="21" t="inlineStr">
        <is>
          <t>Zuhraxon qizi</t>
        </is>
      </c>
      <c r="G269" s="21">
        <f>Таблица1[[#This Row],[Familiyasi]]&amp;" "&amp;Таблица1[[#This Row],[Ismi]]&amp;" "&amp;Таблица1[[#This Row],[Otasining ismi]]</f>
        <v/>
      </c>
      <c r="H269" s="9" t="inlineStr">
        <is>
          <t>23.11.2008</t>
        </is>
      </c>
      <c r="I269" s="21" t="inlineStr">
        <is>
          <t>ae2837100</t>
        </is>
      </c>
      <c r="J269" s="9" t="inlineStr">
        <is>
          <t>62311085680011</t>
        </is>
      </c>
      <c r="K269" s="21" t="inlineStr">
        <is>
          <t>05.05.2023</t>
        </is>
      </c>
      <c r="L269" s="21" t="inlineStr">
        <is>
          <t>um 03729050</t>
        </is>
      </c>
      <c r="M269" s="21" t="inlineStr">
        <is>
          <t>34-sonli umumiy o'rta ta'lim maktabi</t>
        </is>
      </c>
      <c r="N269" s="21" t="inlineStr">
        <is>
          <t>hamshiralik ishi - 3 yillik</t>
        </is>
      </c>
      <c r="O269" s="21" t="inlineStr">
        <is>
          <t>2026</t>
        </is>
      </c>
      <c r="P269" s="9" t="inlineStr">
        <is>
          <t>36</t>
        </is>
      </c>
      <c r="Q269" s="22" t="inlineStr">
        <is>
          <t>sidiqjonova zuxraxon 36.docx</t>
        </is>
      </c>
    </row>
    <row r="270" ht="30" customHeight="1">
      <c r="A270" s="19" t="n">
        <v>46267</v>
      </c>
      <c r="B270" s="28" t="inlineStr">
        <is>
          <t>N</t>
        </is>
      </c>
      <c r="C270" s="10">
        <f>COUNTIF($B$13:B270,B270)</f>
        <v/>
      </c>
      <c r="D270" s="20" t="inlineStr">
        <is>
          <t>Sohibova</t>
        </is>
      </c>
      <c r="E270" s="20" t="inlineStr">
        <is>
          <t>Dilafro'z</t>
        </is>
      </c>
      <c r="F270" s="21" t="inlineStr">
        <is>
          <t>O'lmas qizi</t>
        </is>
      </c>
      <c r="G270" s="21">
        <f>Таблица1[[#This Row],[Familiyasi]]&amp;" "&amp;Таблица1[[#This Row],[Ismi]]&amp;" "&amp;Таблица1[[#This Row],[Otasining ismi]]</f>
        <v/>
      </c>
      <c r="H270" s="9" t="inlineStr">
        <is>
          <t>16.06.2008</t>
        </is>
      </c>
      <c r="I270" s="21" t="inlineStr">
        <is>
          <t>ad9465032</t>
        </is>
      </c>
      <c r="J270" s="9" t="inlineStr">
        <is>
          <t>61606085680057</t>
        </is>
      </c>
      <c r="K270" s="21" t="inlineStr">
        <is>
          <t>19.11.2024</t>
        </is>
      </c>
      <c r="L270" s="21" t="inlineStr">
        <is>
          <t>um 03273954</t>
        </is>
      </c>
      <c r="M270" s="21" t="inlineStr">
        <is>
          <t>21-sonli umumiy o'rta ta'lim maktabi</t>
        </is>
      </c>
      <c r="N270" s="21" t="inlineStr">
        <is>
          <t>hamshiralik ishi - 3 yillik</t>
        </is>
      </c>
      <c r="O270" s="21" t="inlineStr">
        <is>
          <t>2025</t>
        </is>
      </c>
      <c r="P270" s="9" t="inlineStr">
        <is>
          <t>64</t>
        </is>
      </c>
      <c r="Q270" s="22" t="inlineStr">
        <is>
          <t>sohibova dilafro'z 64.docx</t>
        </is>
      </c>
    </row>
    <row r="271" ht="30" customHeight="1">
      <c r="A271" s="19" t="n">
        <v>46267</v>
      </c>
      <c r="B271" s="28" t="inlineStr">
        <is>
          <t>N</t>
        </is>
      </c>
      <c r="C271" s="10">
        <f>COUNTIF($B$13:B271,B271)</f>
        <v/>
      </c>
      <c r="D271" s="20" t="inlineStr">
        <is>
          <t>Temurqulova</t>
        </is>
      </c>
      <c r="E271" s="20" t="inlineStr">
        <is>
          <t>Shahzoda</t>
        </is>
      </c>
      <c r="F271" s="21" t="inlineStr">
        <is>
          <t>Davron qizi</t>
        </is>
      </c>
      <c r="G271" s="21">
        <f>Таблица1[[#This Row],[Familiyasi]]&amp;" "&amp;Таблица1[[#This Row],[Ismi]]&amp;" "&amp;Таблица1[[#This Row],[Otasining ismi]]</f>
        <v/>
      </c>
      <c r="H271" s="9" t="inlineStr">
        <is>
          <t>12.06.2008</t>
        </is>
      </c>
      <c r="I271" s="21" t="inlineStr">
        <is>
          <t>ae2983769</t>
        </is>
      </c>
      <c r="J271" s="9" t="inlineStr">
        <is>
          <t>61206085680039</t>
        </is>
      </c>
      <c r="K271" s="21" t="inlineStr">
        <is>
          <t>01.06.2021</t>
        </is>
      </c>
      <c r="L271" s="21" t="inlineStr">
        <is>
          <t>um 03729906</t>
        </is>
      </c>
      <c r="M271" s="21" t="inlineStr">
        <is>
          <t>64-sonli umumiy o'rta ta'lim maktabi</t>
        </is>
      </c>
      <c r="N271" s="21" t="inlineStr">
        <is>
          <t>hamshiralik ishi - 3 yillik</t>
        </is>
      </c>
      <c r="O271" s="21" t="inlineStr">
        <is>
          <t>2026</t>
        </is>
      </c>
      <c r="P271" s="9" t="inlineStr">
        <is>
          <t>165</t>
        </is>
      </c>
      <c r="Q271" s="22" t="inlineStr">
        <is>
          <t>temirqulova shahzoda 165.docx</t>
        </is>
      </c>
    </row>
    <row r="272" ht="30" customHeight="1">
      <c r="A272" s="19" t="n">
        <v>46267</v>
      </c>
      <c r="B272" s="28" t="inlineStr">
        <is>
          <t>N</t>
        </is>
      </c>
      <c r="C272" s="10">
        <f>COUNTIF($B$13:B272,B272)</f>
        <v/>
      </c>
      <c r="D272" s="20" t="inlineStr">
        <is>
          <t>Tillayeva</t>
        </is>
      </c>
      <c r="E272" s="20" t="inlineStr">
        <is>
          <t>Gulsara</t>
        </is>
      </c>
      <c r="F272" s="21" t="n"/>
      <c r="G272" s="21">
        <f>Таблица1[[#This Row],[Familiyasi]]&amp;" "&amp;Таблица1[[#This Row],[Ismi]]&amp;" "&amp;Таблица1[[#This Row],[Otasining ismi]]</f>
        <v/>
      </c>
      <c r="H272" s="9" t="n"/>
      <c r="I272" s="21" t="n"/>
      <c r="J272" s="9" t="n"/>
      <c r="K272" s="21" t="n"/>
      <c r="L272" s="21" t="n"/>
      <c r="M272" s="21" t="n"/>
      <c r="N272" s="21" t="n"/>
      <c r="O272" s="21" t="n"/>
      <c r="P272" s="9" t="n"/>
      <c r="Q272" s="22" t="n"/>
    </row>
    <row r="273" ht="30" customHeight="1">
      <c r="A273" s="19" t="n">
        <v>46267</v>
      </c>
      <c r="B273" s="28" t="inlineStr">
        <is>
          <t>N</t>
        </is>
      </c>
      <c r="C273" s="10">
        <f>COUNTIF($B$13:B273,B273)</f>
        <v/>
      </c>
      <c r="D273" s="20" t="inlineStr">
        <is>
          <t>Tolibova</t>
        </is>
      </c>
      <c r="E273" s="20" t="inlineStr">
        <is>
          <t>Feruza</t>
        </is>
      </c>
      <c r="F273" s="21" t="inlineStr">
        <is>
          <t>Nizomiddin qizi</t>
        </is>
      </c>
      <c r="G273" s="21">
        <f>Таблица1[[#This Row],[Familiyasi]]&amp;" "&amp;Таблица1[[#This Row],[Ismi]]&amp;" "&amp;Таблица1[[#This Row],[Otasining ismi]]</f>
        <v/>
      </c>
      <c r="H273" s="9" t="inlineStr">
        <is>
          <t>15.08.2008</t>
        </is>
      </c>
      <c r="I273" s="21" t="inlineStr">
        <is>
          <t>ae2456612</t>
        </is>
      </c>
      <c r="J273" s="9" t="inlineStr">
        <is>
          <t>61508085590065</t>
        </is>
      </c>
      <c r="K273" s="21" t="inlineStr">
        <is>
          <t>24.04.2025</t>
        </is>
      </c>
      <c r="L273" s="21" t="inlineStr">
        <is>
          <t>um 03754423</t>
        </is>
      </c>
      <c r="M273" s="21" t="inlineStr">
        <is>
          <t>34-sonli umumiy o'rta ta'lim maktabi</t>
        </is>
      </c>
      <c r="N273" s="21" t="inlineStr">
        <is>
          <t>hamshiralik ishi - 3 yillik</t>
        </is>
      </c>
      <c r="O273" s="21" t="inlineStr">
        <is>
          <t>2026</t>
        </is>
      </c>
      <c r="P273" s="9" t="inlineStr">
        <is>
          <t>170</t>
        </is>
      </c>
      <c r="Q273" s="22" t="inlineStr">
        <is>
          <t>tolibova feruza 170.docx</t>
        </is>
      </c>
    </row>
    <row r="274" ht="30" customHeight="1">
      <c r="A274" s="19" t="n">
        <v>46267</v>
      </c>
      <c r="B274" s="28" t="inlineStr">
        <is>
          <t>N</t>
        </is>
      </c>
      <c r="C274" s="10">
        <f>COUNTIF($B$13:B274,B274)</f>
        <v/>
      </c>
      <c r="D274" s="20" t="inlineStr">
        <is>
          <t>To'raboyeva</t>
        </is>
      </c>
      <c r="E274" s="20" t="inlineStr">
        <is>
          <t>Sabrina</t>
        </is>
      </c>
      <c r="F274" s="21" t="inlineStr">
        <is>
          <t>Ovlaqul qizi</t>
        </is>
      </c>
      <c r="G274" s="21">
        <f>Таблица1[[#This Row],[Familiyasi]]&amp;" "&amp;Таблица1[[#This Row],[Ismi]]&amp;" "&amp;Таблица1[[#This Row],[Otasining ismi]]</f>
        <v/>
      </c>
      <c r="H274" s="9" t="inlineStr">
        <is>
          <t>27.09.2008</t>
        </is>
      </c>
      <c r="I274" s="21" t="inlineStr">
        <is>
          <t>ae3558477</t>
        </is>
      </c>
      <c r="J274" s="9" t="inlineStr">
        <is>
          <t>62709085590070</t>
        </is>
      </c>
      <c r="K274" s="21" t="inlineStr">
        <is>
          <t>08.09.2023</t>
        </is>
      </c>
      <c r="L274" s="21" t="inlineStr">
        <is>
          <t>um 03754217</t>
        </is>
      </c>
      <c r="M274" s="21" t="inlineStr">
        <is>
          <t>29-sonli umumiy o'rta ta'lim maktabi</t>
        </is>
      </c>
      <c r="N274" s="21" t="inlineStr">
        <is>
          <t>hamshiralik ishi - 3 yillik</t>
        </is>
      </c>
      <c r="O274" s="21" t="inlineStr">
        <is>
          <t>2026</t>
        </is>
      </c>
      <c r="P274" s="9" t="inlineStr">
        <is>
          <t>6</t>
        </is>
      </c>
      <c r="Q274" s="22" t="inlineStr">
        <is>
          <t>to'raboyeva sabrina 06.docx</t>
        </is>
      </c>
    </row>
    <row r="275" ht="30" customHeight="1">
      <c r="A275" s="19" t="n">
        <v>46267</v>
      </c>
      <c r="B275" s="28" t="inlineStr">
        <is>
          <t>N</t>
        </is>
      </c>
      <c r="C275" s="10">
        <f>COUNTIF($B$13:B275,B275)</f>
        <v/>
      </c>
      <c r="D275" s="20" t="inlineStr">
        <is>
          <t>To'rayeva</t>
        </is>
      </c>
      <c r="E275" s="20" t="inlineStr">
        <is>
          <t>Farangiz</t>
        </is>
      </c>
      <c r="F275" s="21" t="n"/>
      <c r="G275" s="21">
        <f>Таблица1[[#This Row],[Familiyasi]]&amp;" "&amp;Таблица1[[#This Row],[Ismi]]&amp;" "&amp;Таблица1[[#This Row],[Otasining ismi]]</f>
        <v/>
      </c>
      <c r="H275" s="9" t="inlineStr">
        <is>
          <t>29.09.1997</t>
        </is>
      </c>
      <c r="I275" s="21" t="inlineStr">
        <is>
          <t>ae6194730</t>
        </is>
      </c>
      <c r="J275" s="9" t="inlineStr">
        <is>
          <t>42909975590056</t>
        </is>
      </c>
      <c r="K275" s="21" t="inlineStr">
        <is>
          <t>04.02.2026</t>
        </is>
      </c>
      <c r="L275" s="21" t="inlineStr">
        <is>
          <t>k 4174052</t>
        </is>
      </c>
      <c r="M275" s="21" t="inlineStr">
        <is>
          <t>shahrisabz agroiqtisodiyot kasb-hunar kolleji</t>
        </is>
      </c>
      <c r="N275" s="21" t="inlineStr">
        <is>
          <t>hamshiralik ishi - 2 yillik</t>
        </is>
      </c>
      <c r="O275" s="21" t="inlineStr">
        <is>
          <t>2016</t>
        </is>
      </c>
      <c r="P275" s="9" t="inlineStr">
        <is>
          <t>55</t>
        </is>
      </c>
      <c r="Q275" s="22" t="inlineStr">
        <is>
          <t>to'rayeva farangiz 55.docx</t>
        </is>
      </c>
    </row>
    <row r="276" ht="30" customHeight="1">
      <c r="A276" s="19" t="n">
        <v>46267</v>
      </c>
      <c r="B276" s="28" t="inlineStr">
        <is>
          <t>N</t>
        </is>
      </c>
      <c r="C276" s="10">
        <f>COUNTIF($B$13:B276,B276)</f>
        <v/>
      </c>
      <c r="D276" s="20" t="inlineStr">
        <is>
          <t>Turayeva</t>
        </is>
      </c>
      <c r="E276" s="20" t="inlineStr">
        <is>
          <t>Adiba</t>
        </is>
      </c>
      <c r="F276" s="21" t="inlineStr">
        <is>
          <t>Muzaffar qizi</t>
        </is>
      </c>
      <c r="G276" s="21">
        <f>Таблица1[[#This Row],[Familiyasi]]&amp;" "&amp;Таблица1[[#This Row],[Ismi]]&amp;" "&amp;Таблица1[[#This Row],[Otasining ismi]]</f>
        <v/>
      </c>
      <c r="H276" s="9" t="inlineStr">
        <is>
          <t>22.04.2008</t>
        </is>
      </c>
      <c r="I276" s="21" t="inlineStr">
        <is>
          <t>ae6151645</t>
        </is>
      </c>
      <c r="J276" s="9" t="inlineStr">
        <is>
          <t>62204085720073</t>
        </is>
      </c>
      <c r="K276" s="21" t="inlineStr">
        <is>
          <t>02.02.2026</t>
        </is>
      </c>
      <c r="L276" s="21" t="inlineStr">
        <is>
          <t>um 03717388</t>
        </is>
      </c>
      <c r="M276" s="21" t="inlineStr">
        <is>
          <t>13-sonli umumiy o'rta ta'lim maktabi</t>
        </is>
      </c>
      <c r="N276" s="21" t="inlineStr">
        <is>
          <t>hamshiralik ishi - 3 yillik</t>
        </is>
      </c>
      <c r="O276" s="21" t="inlineStr">
        <is>
          <t>2026</t>
        </is>
      </c>
      <c r="P276" s="9" t="inlineStr">
        <is>
          <t>111</t>
        </is>
      </c>
      <c r="Q276" s="22" t="inlineStr">
        <is>
          <t>jurayeva adiba 111.docx</t>
        </is>
      </c>
    </row>
    <row r="277" ht="30" customHeight="1">
      <c r="A277" s="45" t="n">
        <v>46267</v>
      </c>
      <c r="B277" s="28" t="inlineStr">
        <is>
          <t>N</t>
        </is>
      </c>
      <c r="C277" s="9">
        <f>COUNTIF($B$13:B277,B277)</f>
        <v/>
      </c>
      <c r="D277" s="20" t="inlineStr">
        <is>
          <t>Turayeva</t>
        </is>
      </c>
      <c r="E277" s="20" t="inlineStr">
        <is>
          <t>Sevinch</t>
        </is>
      </c>
      <c r="F277" s="21" t="inlineStr">
        <is>
          <t>Sunnatilloyevna</t>
        </is>
      </c>
      <c r="G277" s="21">
        <f>Таблица1[[#This Row],[Familiyasi]]&amp;" "&amp;Таблица1[[#This Row],[Ismi]]&amp;" "&amp;Таблица1[[#This Row],[Otasining ismi]]</f>
        <v/>
      </c>
      <c r="H277" s="9" t="inlineStr">
        <is>
          <t>14.06.2008</t>
        </is>
      </c>
      <c r="I277" s="21" t="inlineStr">
        <is>
          <t>ad9479638</t>
        </is>
      </c>
      <c r="J277" s="9" t="inlineStr">
        <is>
          <t>61406085680079</t>
        </is>
      </c>
      <c r="K277" s="21" t="inlineStr">
        <is>
          <t>19.11.2024</t>
        </is>
      </c>
      <c r="L277" s="21" t="inlineStr">
        <is>
          <t>um 03273036</t>
        </is>
      </c>
      <c r="M277" s="21" t="inlineStr">
        <is>
          <t>1-sonli umumiy o'rta ta'lim maktabi</t>
        </is>
      </c>
      <c r="N277" s="21" t="inlineStr">
        <is>
          <t>hamshiralik ishi - 3 yillik</t>
        </is>
      </c>
      <c r="O277" s="21" t="inlineStr">
        <is>
          <t>2025</t>
        </is>
      </c>
      <c r="P277" s="9" t="inlineStr">
        <is>
          <t>7</t>
        </is>
      </c>
      <c r="Q277" s="21" t="inlineStr">
        <is>
          <t>sevinch turayeva07.docx</t>
        </is>
      </c>
    </row>
    <row r="278" ht="30" customHeight="1">
      <c r="A278" s="45" t="n">
        <v>46267</v>
      </c>
      <c r="B278" s="28" t="inlineStr">
        <is>
          <t>N</t>
        </is>
      </c>
      <c r="C278" s="9">
        <f>COUNTIF($B$13:B278,B278)</f>
        <v/>
      </c>
      <c r="D278" s="20" t="inlineStr">
        <is>
          <t>Umarova</t>
        </is>
      </c>
      <c r="E278" s="20" t="inlineStr">
        <is>
          <t>Lobar</t>
        </is>
      </c>
      <c r="F278" s="21" t="inlineStr">
        <is>
          <t>Tolibjon qizi</t>
        </is>
      </c>
      <c r="G278" s="21">
        <f>Таблица1[[#This Row],[Familiyasi]]&amp;" "&amp;Таблица1[[#This Row],[Ismi]]&amp;" "&amp;Таблица1[[#This Row],[Otasining ismi]]</f>
        <v/>
      </c>
      <c r="H278" s="9" t="inlineStr">
        <is>
          <t>17.06.2008</t>
        </is>
      </c>
      <c r="I278" s="21" t="inlineStr">
        <is>
          <t>ae3407840</t>
        </is>
      </c>
      <c r="J278" s="9" t="inlineStr">
        <is>
          <t>61706085590085</t>
        </is>
      </c>
      <c r="K278" s="21" t="inlineStr">
        <is>
          <t>15.07.2025</t>
        </is>
      </c>
      <c r="L278" s="21" t="inlineStr">
        <is>
          <t>um 03755696</t>
        </is>
      </c>
      <c r="M278" s="21" t="inlineStr">
        <is>
          <t>75-sonli umumiy o'rta ta'lim maktabi</t>
        </is>
      </c>
      <c r="N278" s="21" t="inlineStr">
        <is>
          <t>hamshiralik ishi - 3 yillik</t>
        </is>
      </c>
      <c r="O278" s="21" t="inlineStr">
        <is>
          <t>2026</t>
        </is>
      </c>
      <c r="P278" s="9" t="inlineStr">
        <is>
          <t>194</t>
        </is>
      </c>
      <c r="Q278" s="21" t="inlineStr">
        <is>
          <t>umarovqa lobar 194.docx</t>
        </is>
      </c>
    </row>
    <row r="279" ht="30" customHeight="1">
      <c r="A279" s="45" t="n">
        <v>46267</v>
      </c>
      <c r="B279" s="28" t="inlineStr">
        <is>
          <t>N</t>
        </is>
      </c>
      <c r="C279" s="9">
        <f>COUNTIF($B$13:B279,B279)</f>
        <v/>
      </c>
      <c r="D279" s="20" t="inlineStr">
        <is>
          <t>Xapizova</t>
        </is>
      </c>
      <c r="E279" s="20" t="inlineStr">
        <is>
          <t>Jasmina</t>
        </is>
      </c>
      <c r="F279" s="21" t="inlineStr">
        <is>
          <t>Panji qizi</t>
        </is>
      </c>
      <c r="G279" s="21">
        <f>Таблица1[[#This Row],[Familiyasi]]&amp;" "&amp;Таблица1[[#This Row],[Ismi]]&amp;" "&amp;Таблица1[[#This Row],[Otasining ismi]]</f>
        <v/>
      </c>
      <c r="H279" s="9" t="inlineStr">
        <is>
          <t>10.04.2008</t>
        </is>
      </c>
      <c r="I279" s="21" t="inlineStr">
        <is>
          <t>ae2516929</t>
        </is>
      </c>
      <c r="J279" s="9" t="inlineStr">
        <is>
          <t>61004085730107</t>
        </is>
      </c>
      <c r="K279" s="21" t="inlineStr">
        <is>
          <t>01.05.2025</t>
        </is>
      </c>
      <c r="L279" s="21" t="inlineStr">
        <is>
          <t>um 03757678</t>
        </is>
      </c>
      <c r="M279" s="21" t="inlineStr">
        <is>
          <t>55-sonli umumiy o'rta ta'lim maktabi</t>
        </is>
      </c>
      <c r="N279" s="21" t="inlineStr">
        <is>
          <t>hamshiralik ishi - 3 yillik</t>
        </is>
      </c>
      <c r="O279" s="21" t="inlineStr">
        <is>
          <t>2026</t>
        </is>
      </c>
      <c r="P279" s="9" t="inlineStr">
        <is>
          <t>237</t>
        </is>
      </c>
      <c r="Q279" s="21" t="inlineStr">
        <is>
          <t>xapizova jasmina 237.docx</t>
        </is>
      </c>
    </row>
    <row r="280" ht="30" customHeight="1">
      <c r="A280" s="45" t="n">
        <v>46267</v>
      </c>
      <c r="B280" s="28" t="inlineStr">
        <is>
          <t>N</t>
        </is>
      </c>
      <c r="C280" s="9">
        <f>COUNTIF($B$13:B280,B280)</f>
        <v/>
      </c>
      <c r="D280" s="20" t="inlineStr">
        <is>
          <t>Xaydarova</t>
        </is>
      </c>
      <c r="E280" s="20" t="inlineStr">
        <is>
          <t>Xayriniso</t>
        </is>
      </c>
      <c r="F280" s="21" t="inlineStr">
        <is>
          <t>Faxriddin qizi</t>
        </is>
      </c>
      <c r="G280" s="21">
        <f>Таблица1[[#This Row],[Familiyasi]]&amp;" "&amp;Таблица1[[#This Row],[Ismi]]&amp;" "&amp;Таблица1[[#This Row],[Otasining ismi]]</f>
        <v/>
      </c>
      <c r="H280" s="9" t="inlineStr">
        <is>
          <t>04.02.2003</t>
        </is>
      </c>
      <c r="I280" s="21" t="inlineStr">
        <is>
          <t>ac3053757</t>
        </is>
      </c>
      <c r="J280" s="9" t="inlineStr">
        <is>
          <t>60402037890050</t>
        </is>
      </c>
      <c r="K280" s="21" t="inlineStr">
        <is>
          <t>01.10.2020</t>
        </is>
      </c>
      <c r="L280" s="21" t="inlineStr">
        <is>
          <t>um 0890395</t>
        </is>
      </c>
      <c r="M280" s="21" t="inlineStr">
        <is>
          <t>qashqadaryo viloyati shahrisabz shahar 20-sonli umumiy o'rta ta'lim maktabi</t>
        </is>
      </c>
      <c r="N280" s="21" t="inlineStr">
        <is>
          <t>hamshiralik ishi - 2 yillik</t>
        </is>
      </c>
      <c r="O280" s="21" t="inlineStr">
        <is>
          <t>2021</t>
        </is>
      </c>
      <c r="P280" s="9" t="inlineStr">
        <is>
          <t>28</t>
        </is>
      </c>
      <c r="Q280" s="21" t="inlineStr">
        <is>
          <t>haydarova xayriniso 28.docx</t>
        </is>
      </c>
    </row>
    <row r="281" ht="30" customHeight="1">
      <c r="A281" s="45" t="n">
        <v>46267</v>
      </c>
      <c r="B281" s="28" t="inlineStr">
        <is>
          <t>N</t>
        </is>
      </c>
      <c r="C281" s="9">
        <f>COUNTIF($B$13:B281,B281)</f>
        <v/>
      </c>
      <c r="D281" s="20" t="inlineStr">
        <is>
          <t>Xo'jamurotova</t>
        </is>
      </c>
      <c r="E281" s="20" t="inlineStr">
        <is>
          <t>Durdona</t>
        </is>
      </c>
      <c r="F281" s="21" t="inlineStr">
        <is>
          <t>Bahrom qizi</t>
        </is>
      </c>
      <c r="G281" s="21">
        <f>Таблица1[[#This Row],[Familiyasi]]&amp;" "&amp;Таблица1[[#This Row],[Ismi]]&amp;" "&amp;Таблица1[[#This Row],[Otasining ismi]]</f>
        <v/>
      </c>
      <c r="H281" s="9" t="inlineStr">
        <is>
          <t>22.04.2008</t>
        </is>
      </c>
      <c r="I281" s="21" t="inlineStr">
        <is>
          <t>ae5954513</t>
        </is>
      </c>
      <c r="J281" s="9" t="inlineStr">
        <is>
          <t>62204085720105</t>
        </is>
      </c>
      <c r="K281" s="21" t="inlineStr">
        <is>
          <t>20.01.2026</t>
        </is>
      </c>
      <c r="L281" s="21" t="inlineStr">
        <is>
          <t>um 03717652</t>
        </is>
      </c>
      <c r="M281" s="21" t="inlineStr">
        <is>
          <t>19-sonli umumiy o'rta ta'lim maktabi</t>
        </is>
      </c>
      <c r="N281" s="21" t="inlineStr">
        <is>
          <t>hamshiralik ishi - 3 yillik</t>
        </is>
      </c>
      <c r="O281" s="21" t="inlineStr">
        <is>
          <t>2026</t>
        </is>
      </c>
      <c r="P281" s="9" t="inlineStr">
        <is>
          <t>232</t>
        </is>
      </c>
      <c r="Q281" s="21" t="inlineStr">
        <is>
          <t>xujamuratova durdona 232.docx</t>
        </is>
      </c>
    </row>
    <row r="282" ht="30" customHeight="1">
      <c r="A282" s="19" t="n">
        <v>46267</v>
      </c>
      <c r="B282" s="28" t="inlineStr">
        <is>
          <t>N</t>
        </is>
      </c>
      <c r="C282" s="10">
        <f>COUNTIF($B$13:B282,B282)</f>
        <v/>
      </c>
      <c r="D282" s="48" t="inlineStr">
        <is>
          <t>Xolboyev</t>
        </is>
      </c>
      <c r="E282" s="20" t="inlineStr">
        <is>
          <t>Og'abek</t>
        </is>
      </c>
      <c r="F282" s="21" t="n"/>
      <c r="G282" s="21">
        <f>Таблица1[[#This Row],[Familiyasi]]&amp;" "&amp;Таблица1[[#This Row],[Ismi]]&amp;" "&amp;Таблица1[[#This Row],[Otasining ismi]]</f>
        <v/>
      </c>
      <c r="H282" s="9" t="n"/>
      <c r="I282" s="21" t="n"/>
      <c r="J282" s="9" t="n"/>
      <c r="K282" s="21" t="n"/>
      <c r="L282" s="21" t="n"/>
      <c r="M282" s="21" t="n"/>
      <c r="N282" s="21" t="n"/>
      <c r="O282" s="21" t="n"/>
      <c r="P282" s="9" t="n"/>
      <c r="Q282" s="22" t="n"/>
    </row>
    <row r="283" ht="30" customHeight="1">
      <c r="A283" s="19" t="n">
        <v>46267</v>
      </c>
      <c r="B283" s="28" t="inlineStr">
        <is>
          <t>N</t>
        </is>
      </c>
      <c r="C283" s="10">
        <f>COUNTIF($B$13:B283,B283)</f>
        <v/>
      </c>
      <c r="D283" s="48" t="inlineStr">
        <is>
          <t>Xurramova</t>
        </is>
      </c>
      <c r="E283" s="20" t="inlineStr">
        <is>
          <t>Sabina</t>
        </is>
      </c>
      <c r="F283" s="21" t="inlineStr">
        <is>
          <t>Yuldosh qizi</t>
        </is>
      </c>
      <c r="G283" s="21">
        <f>Таблица1[[#This Row],[Familiyasi]]&amp;" "&amp;Таблица1[[#This Row],[Ismi]]&amp;" "&amp;Таблица1[[#This Row],[Otasining ismi]]</f>
        <v/>
      </c>
      <c r="H283" s="9" t="inlineStr">
        <is>
          <t>08.03.2004</t>
        </is>
      </c>
      <c r="I283" s="21" t="inlineStr">
        <is>
          <t>ac3081523</t>
        </is>
      </c>
      <c r="J283" s="9" t="inlineStr">
        <is>
          <t>60803048230011</t>
        </is>
      </c>
      <c r="K283" s="21" t="inlineStr">
        <is>
          <t>16.10.2020</t>
        </is>
      </c>
      <c r="L283" s="21" t="inlineStr">
        <is>
          <t>um 1315230</t>
        </is>
      </c>
      <c r="M283" s="21" t="inlineStr">
        <is>
          <t>qashqadaryo viloyati yakkabog' tumani 4-sonli umumiy o'rta ta'lim maktabi</t>
        </is>
      </c>
      <c r="N283" s="21" t="inlineStr">
        <is>
          <t>hamshiralik ishi - 3 yillik</t>
        </is>
      </c>
      <c r="O283" s="21" t="inlineStr">
        <is>
          <t>2022</t>
        </is>
      </c>
      <c r="P283" s="9" t="inlineStr">
        <is>
          <t>52</t>
        </is>
      </c>
      <c r="Q283" s="22" t="inlineStr">
        <is>
          <t>xurramova sabina  52.docx</t>
        </is>
      </c>
    </row>
    <row r="284" ht="30" customHeight="1">
      <c r="A284" s="19" t="n">
        <v>46267</v>
      </c>
      <c r="B284" s="28" t="inlineStr">
        <is>
          <t>N</t>
        </is>
      </c>
      <c r="C284" s="10">
        <f>COUNTIF($B$13:B284,B284)</f>
        <v/>
      </c>
      <c r="D284" s="48" t="inlineStr">
        <is>
          <t>Xushvaqtova</t>
        </is>
      </c>
      <c r="E284" s="20" t="inlineStr">
        <is>
          <t>Zuxra</t>
        </is>
      </c>
      <c r="F284" s="21" t="inlineStr">
        <is>
          <t>Dilmurod qizi</t>
        </is>
      </c>
      <c r="G284" s="21">
        <f>Таблица1[[#This Row],[Familiyasi]]&amp;" "&amp;Таблица1[[#This Row],[Ismi]]&amp;" "&amp;Таблица1[[#This Row],[Otasining ismi]]</f>
        <v/>
      </c>
      <c r="H284" s="9" t="inlineStr">
        <is>
          <t>12.11.2007</t>
        </is>
      </c>
      <c r="I284" s="21" t="inlineStr">
        <is>
          <t>ad9631617</t>
        </is>
      </c>
      <c r="J284" s="9" t="inlineStr">
        <is>
          <t>61211075590028</t>
        </is>
      </c>
      <c r="K284" s="21" t="inlineStr">
        <is>
          <t>02.12.2024</t>
        </is>
      </c>
      <c r="L284" s="21" t="inlineStr">
        <is>
          <t>um 03287212</t>
        </is>
      </c>
      <c r="M284" s="21" t="inlineStr">
        <is>
          <t>70-sonli umumiy o'rta ta'lim maktabi</t>
        </is>
      </c>
      <c r="N284" s="21" t="inlineStr">
        <is>
          <t>hamshiralik ishi - 3 yillik</t>
        </is>
      </c>
      <c r="O284" s="21" t="inlineStr">
        <is>
          <t>2025</t>
        </is>
      </c>
      <c r="P284" s="9" t="inlineStr">
        <is>
          <t>103</t>
        </is>
      </c>
      <c r="Q284" s="22" t="inlineStr">
        <is>
          <t>xushvaqtova zuhra 103.docx</t>
        </is>
      </c>
    </row>
    <row r="285" ht="30" customHeight="1">
      <c r="A285" s="19" t="n">
        <v>46267</v>
      </c>
      <c r="B285" s="28" t="inlineStr">
        <is>
          <t>N</t>
        </is>
      </c>
      <c r="C285" s="10">
        <f>COUNTIF($B$13:B285,B285)</f>
        <v/>
      </c>
      <c r="D285" s="48" t="inlineStr">
        <is>
          <t>Yarmatova</t>
        </is>
      </c>
      <c r="E285" s="20" t="inlineStr">
        <is>
          <t>Dilfuza</t>
        </is>
      </c>
      <c r="F285" s="21" t="n"/>
      <c r="G285" s="21">
        <f>Таблица1[[#This Row],[Familiyasi]]&amp;" "&amp;Таблица1[[#This Row],[Ismi]]&amp;" "&amp;Таблица1[[#This Row],[Otasining ismi]]</f>
        <v/>
      </c>
      <c r="H285" s="9" t="inlineStr">
        <is>
          <t>08.04.1996</t>
        </is>
      </c>
      <c r="I285" s="21" t="inlineStr">
        <is>
          <t>ac1772470</t>
        </is>
      </c>
      <c r="J285" s="9" t="inlineStr">
        <is>
          <t>40804962600025</t>
        </is>
      </c>
      <c r="K285" s="21" t="inlineStr">
        <is>
          <t>28.02.2019</t>
        </is>
      </c>
      <c r="L285" s="21" t="inlineStr">
        <is>
          <t>k 0238960</t>
        </is>
      </c>
      <c r="M285" s="21" t="inlineStr">
        <is>
          <t>g'armachi tuman fortepa kasb-hunar kolleji</t>
        </is>
      </c>
      <c r="N285" s="21" t="inlineStr">
        <is>
          <t>hamshiralik ishi - 3 yillik</t>
        </is>
      </c>
      <c r="O285" s="21" t="inlineStr">
        <is>
          <t>2015</t>
        </is>
      </c>
      <c r="P285" s="9" t="inlineStr">
        <is>
          <t>223</t>
        </is>
      </c>
      <c r="Q285" s="22" t="inlineStr">
        <is>
          <t>yarmatova dilfuza 223.docx</t>
        </is>
      </c>
    </row>
    <row r="286" ht="30" customHeight="1">
      <c r="A286" s="19" t="n">
        <v>46267</v>
      </c>
      <c r="B286" s="28" t="inlineStr">
        <is>
          <t>N</t>
        </is>
      </c>
      <c r="C286" s="10">
        <f>COUNTIF($B$13:B286,B286)</f>
        <v/>
      </c>
      <c r="D286" s="20" t="inlineStr">
        <is>
          <t>Zarqorayeva</t>
        </is>
      </c>
      <c r="E286" s="20" t="inlineStr">
        <is>
          <t>Dinora</t>
        </is>
      </c>
      <c r="F286" s="21" t="inlineStr">
        <is>
          <t>Karim qizi</t>
        </is>
      </c>
      <c r="G286" s="21">
        <f>Таблица1[[#This Row],[Familiyasi]]&amp;" "&amp;Таблица1[[#This Row],[Ismi]]&amp;" "&amp;Таблица1[[#This Row],[Otasining ismi]]</f>
        <v/>
      </c>
      <c r="H286" s="9" t="inlineStr">
        <is>
          <t>26.03.2008</t>
        </is>
      </c>
      <c r="I286" s="21" t="inlineStr">
        <is>
          <t>ad9911891</t>
        </is>
      </c>
      <c r="J286" s="9" t="inlineStr">
        <is>
          <t>62603085590028</t>
        </is>
      </c>
      <c r="K286" s="21" t="inlineStr">
        <is>
          <t>23.12.2024</t>
        </is>
      </c>
      <c r="L286" s="21" t="inlineStr">
        <is>
          <t>um 03742322</t>
        </is>
      </c>
      <c r="M286" s="21" t="inlineStr">
        <is>
          <t>76-sonli umumiy o'rta ta'lim maktabi</t>
        </is>
      </c>
      <c r="N286" s="21" t="inlineStr">
        <is>
          <t>hamshiralik ishi - 3 yillik</t>
        </is>
      </c>
      <c r="O286" s="21" t="inlineStr">
        <is>
          <t>2026</t>
        </is>
      </c>
      <c r="P286" s="9" t="inlineStr">
        <is>
          <t>214</t>
        </is>
      </c>
      <c r="Q286" s="22" t="inlineStr">
        <is>
          <t>zarqorayeva dinora 214.docx</t>
        </is>
      </c>
    </row>
    <row r="287" ht="30" customHeight="1">
      <c r="A287" s="19" t="n">
        <v>46267</v>
      </c>
      <c r="B287" s="28" t="inlineStr">
        <is>
          <t>N</t>
        </is>
      </c>
      <c r="C287" s="10">
        <f>COUNTIF($B$13:B287,B287)</f>
        <v/>
      </c>
      <c r="D287" s="20" t="inlineStr">
        <is>
          <t>Zikriyoyeva</t>
        </is>
      </c>
      <c r="E287" s="20" t="inlineStr">
        <is>
          <t>Dilobar</t>
        </is>
      </c>
      <c r="F287" s="21" t="inlineStr">
        <is>
          <t>Rasul qizi</t>
        </is>
      </c>
      <c r="G287" s="21">
        <f>Таблица1[[#This Row],[Familiyasi]]&amp;" "&amp;Таблица1[[#This Row],[Ismi]]&amp;" "&amp;Таблица1[[#This Row],[Otasining ismi]]</f>
        <v/>
      </c>
      <c r="H287" s="9" t="inlineStr">
        <is>
          <t>11.09.1998</t>
        </is>
      </c>
      <c r="I287" s="21" t="inlineStr">
        <is>
          <t>ab4530229</t>
        </is>
      </c>
      <c r="J287" s="9" t="inlineStr">
        <is>
          <t>41109985680025</t>
        </is>
      </c>
      <c r="K287" s="21" t="inlineStr">
        <is>
          <t>24.07.2016</t>
        </is>
      </c>
      <c r="L287" s="21" t="inlineStr">
        <is>
          <t>k 4603554</t>
        </is>
      </c>
      <c r="M287" s="21" t="inlineStr">
        <is>
          <t>shahrisabz pedagogika va turizm kasb-hunar kolleji</t>
        </is>
      </c>
      <c r="N287" s="21" t="inlineStr">
        <is>
          <t>hamshiralik ishi - 3 yillik</t>
        </is>
      </c>
      <c r="O287" s="21" t="inlineStr">
        <is>
          <t>2017</t>
        </is>
      </c>
      <c r="P287" s="9" t="inlineStr">
        <is>
          <t>153</t>
        </is>
      </c>
      <c r="Q287" s="22" t="inlineStr">
        <is>
          <t>zikriyoyeva dilobar 153.docx</t>
        </is>
      </c>
    </row>
    <row r="288" ht="30" customHeight="1">
      <c r="A288" s="19" t="n">
        <v>46267</v>
      </c>
      <c r="B288" s="28" t="inlineStr">
        <is>
          <t>N</t>
        </is>
      </c>
      <c r="C288" s="10">
        <f>COUNTIF($B$13:B288,B288)</f>
        <v/>
      </c>
      <c r="D288" s="20" t="inlineStr">
        <is>
          <t>Zokirova</t>
        </is>
      </c>
      <c r="E288" s="20" t="inlineStr">
        <is>
          <t>Zaxro</t>
        </is>
      </c>
      <c r="F288" s="21" t="inlineStr">
        <is>
          <t>Shuxrat qizi</t>
        </is>
      </c>
      <c r="G288" s="21">
        <f>Таблица1[[#This Row],[Familiyasi]]&amp;" "&amp;Таблица1[[#This Row],[Ismi]]&amp;" "&amp;Таблица1[[#This Row],[Otasining ismi]]</f>
        <v/>
      </c>
      <c r="H288" s="9" t="inlineStr">
        <is>
          <t>05.09.2008</t>
        </is>
      </c>
      <c r="I288" s="21" t="inlineStr">
        <is>
          <t>ae2519918</t>
        </is>
      </c>
      <c r="J288" s="9" t="inlineStr">
        <is>
          <t>60509085590058</t>
        </is>
      </c>
      <c r="K288" s="21" t="inlineStr">
        <is>
          <t>01.05.2025</t>
        </is>
      </c>
      <c r="L288" s="21" t="inlineStr">
        <is>
          <t>um 03754137</t>
        </is>
      </c>
      <c r="M288" s="21" t="inlineStr">
        <is>
          <t>27-sonli umumiy o'rta ta'lim maktabi</t>
        </is>
      </c>
      <c r="N288" s="21" t="inlineStr">
        <is>
          <t>hamshiralik ishi - 3 yillik</t>
        </is>
      </c>
      <c r="O288" s="21" t="inlineStr">
        <is>
          <t>2026</t>
        </is>
      </c>
      <c r="P288" s="9" t="inlineStr">
        <is>
          <t>121</t>
        </is>
      </c>
      <c r="Q288" s="22" t="inlineStr">
        <is>
          <t>zokirova zahro 121.docx</t>
        </is>
      </c>
    </row>
    <row r="289" ht="30" customHeight="1">
      <c r="A289" s="19" t="n">
        <v>46267</v>
      </c>
      <c r="B289" s="28" t="inlineStr">
        <is>
          <t>N</t>
        </is>
      </c>
      <c r="C289" s="10">
        <f>COUNTIF($B$13:B308,B289)</f>
        <v/>
      </c>
      <c r="D289" s="20" t="inlineStr">
        <is>
          <t>Zubaydullayeva</t>
        </is>
      </c>
      <c r="E289" s="20" t="inlineStr">
        <is>
          <t>Fotima</t>
        </is>
      </c>
      <c r="F289" s="21" t="inlineStr">
        <is>
          <t>Inatullo qizi</t>
        </is>
      </c>
      <c r="G289" s="21">
        <f>Таблица1[[#This Row],[Familiyasi]]&amp;" "&amp;Таблица1[[#This Row],[Ismi]]&amp;" "&amp;Таблица1[[#This Row],[Otasining ismi]]</f>
        <v/>
      </c>
      <c r="H289" s="9" t="inlineStr">
        <is>
          <t>07.10.2006</t>
        </is>
      </c>
      <c r="I289" s="21" t="inlineStr">
        <is>
          <t>ad6496014</t>
        </is>
      </c>
      <c r="J289" s="9" t="inlineStr">
        <is>
          <t>60710065590032</t>
        </is>
      </c>
      <c r="K289" s="21" t="inlineStr">
        <is>
          <t>03.04.2014</t>
        </is>
      </c>
      <c r="L289" s="21" t="inlineStr">
        <is>
          <t>um 02173771</t>
        </is>
      </c>
      <c r="M289" s="21" t="inlineStr">
        <is>
          <t>26-sonli umumiy o'rta ta'lim maktabi</t>
        </is>
      </c>
      <c r="N289" s="21" t="inlineStr">
        <is>
          <t>hamshiralik ishi - 3 yillik</t>
        </is>
      </c>
      <c r="O289" s="21" t="inlineStr">
        <is>
          <t>2024</t>
        </is>
      </c>
      <c r="P289" s="9" t="inlineStr">
        <is>
          <t>217</t>
        </is>
      </c>
      <c r="Q289" s="22" t="inlineStr">
        <is>
          <t>zubaydullayeva fotima 217.docx</t>
        </is>
      </c>
    </row>
  </sheetData>
  <mergeCells count="1">
    <mergeCell ref="D10:E10"/>
  </mergeCells>
  <conditionalFormatting sqref="D286 G1:G1048576">
    <cfRule type="duplicateValues" priority="6" dxfId="0"/>
  </conditionalFormatting>
  <conditionalFormatting sqref="D1 D11:D276 D290:D1048576">
    <cfRule type="duplicateValues" priority="4" dxfId="0"/>
  </conditionalFormatting>
  <conditionalFormatting sqref="E1 E11:E1048576">
    <cfRule type="duplicateValues" priority="3" dxfId="0"/>
  </conditionalFormatting>
  <conditionalFormatting sqref="F1 F11:F1048576">
    <cfRule type="duplicateValues" priority="2" dxfId="0"/>
  </conditionalFormatting>
  <pageMargins left="0.3937007874015748" right="0.3937007874015748" top="0.3937007874015748" bottom="0.3937007874015748" header="0.3937007874015748" footer="0.3937007874015748"/>
  <pageSetup orientation="portrait" paperSize="9" scale="10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Napasov</dc:creator>
  <dcterms:created xmlns:dcterms="http://purl.org/dc/terms/" xmlns:xsi="http://www.w3.org/2001/XMLSchema-instance" xsi:type="dcterms:W3CDTF">2026-09-02T09:59:54Z</dcterms:created>
  <dcterms:modified xmlns:dcterms="http://purl.org/dc/terms/" xmlns:xsi="http://www.w3.org/2001/XMLSchema-instance" xsi:type="dcterms:W3CDTF">2026-09-18T19:38:21Z</dcterms:modified>
  <cp:lastModifiedBy>Ozodbek Napasov</cp:lastModifiedBy>
  <cp:lastPrinted>2026-09-18T05:18:06Z</cp:lastPrinted>
</cp:coreProperties>
</file>