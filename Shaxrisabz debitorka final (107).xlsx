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TG shartnomalar\"/>
    </mc:Choice>
  </mc:AlternateContent>
  <xr:revisionPtr revIDLastSave="0" documentId="13_ncr:1_{E66120FC-8E85-4EE3-A032-BDA48A1150CB}" xr6:coauthVersionLast="47" xr6:coauthVersionMax="47" xr10:uidLastSave="{00000000-0000-0000-0000-000000000000}"/>
  <bookViews>
    <workbookView xWindow="-28920" yWindow="-120" windowWidth="29040" windowHeight="15840" tabRatio="603" xr2:uid="{00000000-000D-0000-FFFF-FFFF00000000}"/>
  </bookViews>
  <sheets>
    <sheet name="bank" sheetId="3" r:id="rId1"/>
    <sheet name="не трогать" sheetId="7" state="hidden" r:id="rId2"/>
    <sheet name="KETGAN" sheetId="8" state="hidden" r:id="rId3"/>
    <sheet name="1 chi kurs" sheetId="9" state="hidden" r:id="rId4"/>
  </sheets>
  <definedNames>
    <definedName name="_xlnm._FilterDatabase" localSheetId="0" hidden="1">bank!$A$1:$J$274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9" l="1"/>
  <c r="E63" i="9"/>
  <c r="F62" i="9"/>
  <c r="E62" i="9"/>
  <c r="F61" i="9"/>
  <c r="E61" i="9"/>
  <c r="F60" i="9"/>
  <c r="E60" i="9"/>
  <c r="F59" i="9"/>
  <c r="E59" i="9"/>
  <c r="E58" i="9"/>
  <c r="F58" i="9"/>
  <c r="F57" i="9"/>
  <c r="E57" i="9"/>
  <c r="F56" i="9"/>
  <c r="E56" i="9"/>
  <c r="F55" i="9"/>
  <c r="E55" i="9"/>
  <c r="F54" i="9"/>
  <c r="E54" i="9"/>
  <c r="F53" i="9"/>
  <c r="E53" i="9"/>
  <c r="F52" i="9"/>
  <c r="E52" i="9"/>
  <c r="F51" i="9"/>
  <c r="E51" i="9"/>
  <c r="F50" i="9"/>
  <c r="E50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E22" i="9"/>
  <c r="F22" i="9"/>
  <c r="E21" i="9"/>
  <c r="F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H1" i="9"/>
  <c r="G1" i="9"/>
  <c r="F1" i="9"/>
  <c r="E1" i="9"/>
  <c r="F28" i="8"/>
  <c r="E28" i="8"/>
  <c r="F27" i="8"/>
  <c r="E27" i="8"/>
  <c r="F26" i="8" l="1"/>
  <c r="E26" i="8"/>
  <c r="F25" i="8"/>
  <c r="E25" i="8"/>
  <c r="F24" i="8" l="1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H1" i="8"/>
  <c r="G1" i="8"/>
  <c r="F1" i="8"/>
  <c r="E1" i="8"/>
  <c r="C3" i="7"/>
  <c r="H55" i="9" l="1"/>
  <c r="G26" i="9"/>
  <c r="H29" i="9"/>
  <c r="H26" i="9"/>
  <c r="H27" i="9"/>
  <c r="G29" i="9"/>
  <c r="H36" i="9"/>
  <c r="G36" i="9"/>
  <c r="G27" i="9"/>
  <c r="G55" i="9"/>
  <c r="G50" i="9"/>
  <c r="H50" i="9"/>
  <c r="G25" i="9"/>
  <c r="H25" i="9"/>
  <c r="G60" i="9"/>
  <c r="H60" i="9"/>
  <c r="G28" i="9"/>
  <c r="G24" i="9"/>
  <c r="H28" i="9"/>
  <c r="H24" i="9"/>
  <c r="H63" i="9"/>
  <c r="G63" i="9"/>
  <c r="G62" i="9"/>
  <c r="H62" i="9"/>
  <c r="G61" i="9"/>
  <c r="H61" i="9"/>
  <c r="G58" i="9"/>
  <c r="H58" i="9"/>
  <c r="G59" i="9"/>
  <c r="H59" i="9"/>
  <c r="G56" i="9"/>
  <c r="H56" i="9"/>
  <c r="H57" i="9"/>
  <c r="G57" i="9"/>
  <c r="G54" i="9"/>
  <c r="H54" i="9"/>
  <c r="G51" i="9"/>
  <c r="G52" i="9"/>
  <c r="H51" i="9"/>
  <c r="H52" i="9"/>
  <c r="G53" i="9"/>
  <c r="H53" i="9"/>
  <c r="H38" i="9"/>
  <c r="H39" i="9"/>
  <c r="G39" i="9"/>
  <c r="G40" i="9"/>
  <c r="H40" i="9"/>
  <c r="G41" i="9"/>
  <c r="G37" i="9"/>
  <c r="G42" i="9"/>
  <c r="G47" i="9"/>
  <c r="H47" i="9"/>
  <c r="G38" i="9"/>
  <c r="H46" i="9"/>
  <c r="G46" i="9"/>
  <c r="H43" i="9"/>
  <c r="G44" i="9"/>
  <c r="H41" i="9"/>
  <c r="H37" i="9"/>
  <c r="G43" i="9"/>
  <c r="G45" i="9"/>
  <c r="H42" i="9"/>
  <c r="H44" i="9"/>
  <c r="H45" i="9"/>
  <c r="G34" i="9"/>
  <c r="H34" i="9"/>
  <c r="G30" i="9"/>
  <c r="H30" i="9"/>
  <c r="G31" i="9"/>
  <c r="H31" i="9"/>
  <c r="G32" i="9"/>
  <c r="H35" i="9"/>
  <c r="H32" i="9"/>
  <c r="G35" i="9"/>
  <c r="G33" i="9"/>
  <c r="H33" i="9"/>
  <c r="H23" i="9"/>
  <c r="H22" i="9"/>
  <c r="G23" i="9"/>
  <c r="G22" i="9"/>
  <c r="G21" i="9"/>
  <c r="H21" i="9"/>
  <c r="H20" i="9"/>
  <c r="H18" i="9"/>
  <c r="H19" i="9"/>
  <c r="G19" i="9"/>
  <c r="G18" i="9"/>
  <c r="G20" i="9"/>
  <c r="G7" i="9"/>
  <c r="H14" i="9"/>
  <c r="G4" i="9"/>
  <c r="H13" i="9"/>
  <c r="H15" i="9"/>
  <c r="H8" i="9"/>
  <c r="G13" i="9"/>
  <c r="H3" i="9"/>
  <c r="G15" i="9"/>
  <c r="H10" i="9"/>
  <c r="H17" i="9"/>
  <c r="G6" i="9"/>
  <c r="H5" i="9"/>
  <c r="H4" i="9"/>
  <c r="G5" i="9"/>
  <c r="G14" i="9"/>
  <c r="G11" i="9"/>
  <c r="H9" i="9"/>
  <c r="G9" i="9"/>
  <c r="H16" i="9"/>
  <c r="H6" i="9"/>
  <c r="G16" i="9"/>
  <c r="H7" i="9"/>
  <c r="G12" i="9"/>
  <c r="H11" i="9"/>
  <c r="G3" i="9"/>
  <c r="G8" i="9"/>
  <c r="G10" i="9"/>
  <c r="G17" i="9"/>
  <c r="H12" i="9"/>
  <c r="G2" i="9"/>
  <c r="H2" i="9"/>
  <c r="G27" i="8"/>
  <c r="H27" i="8"/>
  <c r="G28" i="8"/>
  <c r="H28" i="8"/>
  <c r="G26" i="8"/>
  <c r="H26" i="8"/>
  <c r="H25" i="8"/>
  <c r="G25" i="8"/>
  <c r="G10" i="8"/>
  <c r="G16" i="8"/>
  <c r="G20" i="8"/>
  <c r="H20" i="8"/>
  <c r="H5" i="8"/>
  <c r="G21" i="8"/>
  <c r="G6" i="8"/>
  <c r="H10" i="8"/>
  <c r="G15" i="8"/>
  <c r="G7" i="8"/>
  <c r="H6" i="8"/>
  <c r="H11" i="8"/>
  <c r="H16" i="8"/>
  <c r="H21" i="8"/>
  <c r="H15" i="8"/>
  <c r="G2" i="8"/>
  <c r="G12" i="8"/>
  <c r="G17" i="8"/>
  <c r="G22" i="8"/>
  <c r="H2" i="8"/>
  <c r="H7" i="8"/>
  <c r="H12" i="8"/>
  <c r="H17" i="8"/>
  <c r="H22" i="8"/>
  <c r="G3" i="8"/>
  <c r="G8" i="8"/>
  <c r="G13" i="8"/>
  <c r="G18" i="8"/>
  <c r="G23" i="8"/>
  <c r="G5" i="8"/>
  <c r="H3" i="8"/>
  <c r="H8" i="8"/>
  <c r="H13" i="8"/>
  <c r="H18" i="8"/>
  <c r="H23" i="8"/>
  <c r="G4" i="8"/>
  <c r="G9" i="8"/>
  <c r="G14" i="8"/>
  <c r="G19" i="8"/>
  <c r="G24" i="8"/>
  <c r="G11" i="8"/>
  <c r="H4" i="8"/>
  <c r="H9" i="8"/>
  <c r="H14" i="8"/>
  <c r="H19" i="8"/>
  <c r="H24" i="8"/>
  <c r="C1" i="7"/>
  <c r="D19" i="7" l="1"/>
  <c r="D54" i="7"/>
  <c r="D50" i="7"/>
  <c r="D46" i="7"/>
  <c r="D42" i="7"/>
  <c r="D38" i="7"/>
  <c r="D34" i="7"/>
  <c r="D30" i="7"/>
  <c r="D26" i="7"/>
  <c r="D22" i="7"/>
  <c r="D28" i="7"/>
  <c r="D24" i="7"/>
  <c r="D20" i="7"/>
  <c r="D56" i="7"/>
  <c r="D52" i="7"/>
  <c r="D48" i="7"/>
  <c r="D44" i="7"/>
  <c r="D40" i="7"/>
  <c r="D36" i="7"/>
  <c r="D32" i="7"/>
  <c r="D55" i="7"/>
  <c r="D51" i="7"/>
  <c r="D47" i="7"/>
  <c r="D43" i="7"/>
  <c r="D39" i="7"/>
  <c r="D35" i="7"/>
  <c r="D31" i="7"/>
  <c r="D27" i="7"/>
  <c r="D23" i="7"/>
  <c r="D57" i="7"/>
  <c r="D53" i="7"/>
  <c r="D49" i="7"/>
  <c r="D45" i="7"/>
  <c r="D41" i="7"/>
  <c r="D37" i="7"/>
  <c r="D33" i="7"/>
  <c r="D29" i="7"/>
  <c r="D25" i="7"/>
  <c r="D21" i="7"/>
  <c r="C2" i="7"/>
  <c r="C25" i="7" l="1"/>
  <c r="C32" i="7"/>
  <c r="C28" i="7"/>
  <c r="C56" i="7"/>
  <c r="C45" i="7"/>
  <c r="C42" i="7"/>
  <c r="C6" i="7"/>
  <c r="C30" i="7"/>
  <c r="C21" i="7"/>
  <c r="C57" i="7"/>
  <c r="C35" i="7"/>
  <c r="C47" i="7"/>
  <c r="C20" i="7"/>
  <c r="C50" i="7"/>
  <c r="C33" i="7"/>
  <c r="C31" i="7"/>
  <c r="C23" i="7"/>
  <c r="C36" i="7"/>
  <c r="C22" i="7"/>
  <c r="C51" i="7"/>
  <c r="C53" i="7"/>
  <c r="C38" i="7"/>
  <c r="C24" i="7"/>
  <c r="C48" i="7"/>
  <c r="C46" i="7"/>
  <c r="C44" i="7"/>
  <c r="C37" i="7"/>
  <c r="C49" i="7"/>
  <c r="C26" i="7"/>
  <c r="C27" i="7"/>
  <c r="C40" i="7"/>
  <c r="C54" i="7"/>
  <c r="C39" i="7"/>
  <c r="C55" i="7"/>
  <c r="C43" i="7"/>
  <c r="C52" i="7"/>
  <c r="C41" i="7"/>
  <c r="C34" i="7"/>
  <c r="C19" i="7"/>
  <c r="E19" i="7" s="1"/>
  <c r="F19" i="7" s="1"/>
  <c r="C29" i="7"/>
  <c r="E36" i="7" l="1"/>
  <c r="F36" i="7" s="1"/>
  <c r="E50" i="7"/>
  <c r="F50" i="7" s="1"/>
  <c r="E34" i="7"/>
  <c r="F34" i="7" s="1"/>
  <c r="E22" i="7"/>
  <c r="F22" i="7" s="1"/>
  <c r="E45" i="7"/>
  <c r="F45" i="7" s="1"/>
  <c r="E49" i="7"/>
  <c r="F49" i="7" s="1"/>
  <c r="E37" i="7"/>
  <c r="F37" i="7" s="1"/>
  <c r="E38" i="7"/>
  <c r="F38" i="7" s="1"/>
  <c r="E51" i="7"/>
  <c r="F51" i="7" s="1"/>
  <c r="E53" i="7"/>
  <c r="F53" i="7" s="1"/>
  <c r="E56" i="7"/>
  <c r="F56" i="7" s="1"/>
  <c r="E42" i="7"/>
  <c r="F42" i="7" s="1"/>
  <c r="E44" i="7"/>
  <c r="F44" i="7" s="1"/>
  <c r="E54" i="7"/>
  <c r="F54" i="7" s="1"/>
  <c r="E46" i="7"/>
  <c r="F46" i="7" s="1"/>
  <c r="E52" i="7"/>
  <c r="F52" i="7" s="1"/>
  <c r="E33" i="7"/>
  <c r="F33" i="7" s="1"/>
  <c r="E23" i="7"/>
  <c r="F23" i="7" s="1"/>
  <c r="E43" i="7"/>
  <c r="F43" i="7" s="1"/>
  <c r="E25" i="7"/>
  <c r="F25" i="7" s="1"/>
  <c r="E47" i="7"/>
  <c r="F47" i="7" s="1"/>
  <c r="E21" i="7"/>
  <c r="F21" i="7" s="1"/>
  <c r="E40" i="7"/>
  <c r="F40" i="7" s="1"/>
  <c r="E39" i="7"/>
  <c r="F39" i="7" s="1"/>
  <c r="E31" i="7"/>
  <c r="F31" i="7" s="1"/>
  <c r="E27" i="7"/>
  <c r="F27" i="7" s="1"/>
  <c r="E32" i="7"/>
  <c r="F32" i="7" s="1"/>
  <c r="E57" i="7"/>
  <c r="F57" i="7" s="1"/>
  <c r="E55" i="7"/>
  <c r="F55" i="7" s="1"/>
  <c r="E24" i="7"/>
  <c r="F24" i="7" s="1"/>
  <c r="E30" i="7"/>
  <c r="F30" i="7" s="1"/>
  <c r="E35" i="7"/>
  <c r="F35" i="7" s="1"/>
  <c r="E41" i="7"/>
  <c r="F41" i="7" s="1"/>
  <c r="E48" i="7"/>
  <c r="F48" i="7" s="1"/>
  <c r="E20" i="7"/>
  <c r="F20" i="7" s="1"/>
  <c r="E28" i="7"/>
  <c r="F28" i="7" s="1"/>
  <c r="E29" i="7"/>
  <c r="F29" i="7" s="1"/>
  <c r="C4" i="7"/>
  <c r="E26" i="7"/>
  <c r="F26" i="7" s="1"/>
  <c r="C5" i="7" l="1"/>
</calcChain>
</file>

<file path=xl/sharedStrings.xml><?xml version="1.0" encoding="utf-8"?>
<sst xmlns="http://schemas.openxmlformats.org/spreadsheetml/2006/main" count="2935" uniqueCount="1174">
  <si>
    <t>Дата</t>
  </si>
  <si>
    <t>Счет/ИНН</t>
  </si>
  <si>
    <t>№ док-та</t>
  </si>
  <si>
    <t>Оп</t>
  </si>
  <si>
    <t>МФО</t>
  </si>
  <si>
    <t>Оборот Дебет</t>
  </si>
  <si>
    <t>Оборот Кредит</t>
  </si>
  <si>
    <t>Назначение платежа</t>
  </si>
  <si>
    <t>FISH</t>
  </si>
  <si>
    <t>Qaysi kurs uchun</t>
  </si>
  <si>
    <t>Guruhlar</t>
  </si>
  <si>
    <t>Talabalar soni</t>
  </si>
  <si>
    <t>Guruhlar soni</t>
  </si>
  <si>
    <t>Umumiy tushum</t>
  </si>
  <si>
    <t>Umumiy qarzdorlik</t>
  </si>
  <si>
    <t>Shartnoma qiymati</t>
  </si>
  <si>
    <t>Umumiy shartnoma qiymati</t>
  </si>
  <si>
    <t>Fozida</t>
  </si>
  <si>
    <t>ABDURAXMONOVA UMIDA ABDISAMAT QIZI</t>
  </si>
  <si>
    <t>ABDUSAMATOVA LAYLO ISOMIDDIN QIZI</t>
  </si>
  <si>
    <t>AHMADOVA ZEBO HOSHIM QIZI</t>
  </si>
  <si>
    <t>AVAZOVA LOBAR AXTAM QIZI</t>
  </si>
  <si>
    <t>BOYMUROTOVA MUXLISA SHERALI QIZI</t>
  </si>
  <si>
    <t>CHO‘LLIYEVA SEVINCH AZAMJON QIZI</t>
  </si>
  <si>
    <t>ESANOVA MADINA JALOL QIZI</t>
  </si>
  <si>
    <t>FAXRIDDINOVA CHAROS XXX</t>
  </si>
  <si>
    <t>G‘AYRATOVA RUHSHONA MAQSUD QIZI</t>
  </si>
  <si>
    <t>HASANOVA MUQADDAS OLIM QIZI</t>
  </si>
  <si>
    <t>JO‘RAQULOVA FERUZA AHMADJON QIZI</t>
  </si>
  <si>
    <t>MINGALIYEVA UMIDA MARATOVNA</t>
  </si>
  <si>
    <t>MIROVA FARIDA</t>
  </si>
  <si>
    <t>NURMATOVA AZIZA RENATOVNA</t>
  </si>
  <si>
    <t>OBIDJONOVA ZULAYXO OBIDJON QIZI</t>
  </si>
  <si>
    <t>OSTONOVA SHAXZODA XASANOVNA</t>
  </si>
  <si>
    <t>QUYLIYEVA SHAXZODA RAMON QIZI</t>
  </si>
  <si>
    <t>RAXMATOVA KUNDUZOY SODIQ QIZI</t>
  </si>
  <si>
    <t>RUZIYEVA NARGIZA G‘AYRAT QIZI</t>
  </si>
  <si>
    <t>SAFAROVA GUZAL KENJA QIZI</t>
  </si>
  <si>
    <t>SAMATOVA DILAFRUZ TILOVOVNA</t>
  </si>
  <si>
    <t>YULDASHEVA MUXAYYO MAJITOVNA</t>
  </si>
  <si>
    <t>ABDIVALIYEVA MUXLISA ABDISOLI QIZI</t>
  </si>
  <si>
    <t>ABDUJAMILOVA JASMINA JONIBEK QIZI</t>
  </si>
  <si>
    <t>ABDURAXMONOVA MARJONA AKMAL QIZI</t>
  </si>
  <si>
    <t>ASHUROVA IRODA</t>
  </si>
  <si>
    <t>BOBOQULOVA GULZODA BAXODIROVNA</t>
  </si>
  <si>
    <t>ERGASHEVA NILUFAR</t>
  </si>
  <si>
    <t>IZZATOVA SITORA FURQAT QIZI</t>
  </si>
  <si>
    <t>JALILOVA ROXILA SHAMURZAYEVNA</t>
  </si>
  <si>
    <t>JALOLOVA FARANGIZXON ABDINABI QIZI</t>
  </si>
  <si>
    <t>MO'MINOVA ZEBINISO ERGASHEVNA</t>
  </si>
  <si>
    <t>MUHAMMADIYEVA NARGIZA URALOVNA</t>
  </si>
  <si>
    <t>NAZIRQULOVA SITORA SHERZODOVNA</t>
  </si>
  <si>
    <t>NO'MONOVA FERUZA NE'MATULLO QIZI</t>
  </si>
  <si>
    <t>OCHILOVA MALIKABONU ILHOM QIZI</t>
  </si>
  <si>
    <t>QAYUMOVA KAMOLA RAXMATULLAYEVNA</t>
  </si>
  <si>
    <t>RAJABOVA MADINA MUXIDDIN QIZI</t>
  </si>
  <si>
    <t>SODIQOVA MOHINUR BURXON QIZI</t>
  </si>
  <si>
    <t>TURSUNOVA RAYHONA ASQARALI QIZI</t>
  </si>
  <si>
    <t>BERDIYEVA GULCHEHRA ALISHEROVNA</t>
  </si>
  <si>
    <t>ESHTEMIROVA SEVINCH</t>
  </si>
  <si>
    <t>ISMATOVA RUHSHONA ZIYODULLA QIZI</t>
  </si>
  <si>
    <t>JUMAYEVA GUZAL RUSTAM QIZI</t>
  </si>
  <si>
    <t>KAMOLOVA MARJONA</t>
  </si>
  <si>
    <t>MAXMUDOVA GULCHAMAN USAR QIZI</t>
  </si>
  <si>
    <t>NAZAROVA XUSNIDA</t>
  </si>
  <si>
    <t>TURSUNOVA AZIZA</t>
  </si>
  <si>
    <t>YO'LDOSHEVA MAQSUDA QO'CHQOR QIZI</t>
  </si>
  <si>
    <t>MURTAZAEVA IRODA MUMIN QIZI</t>
  </si>
  <si>
    <t>OZODOVA SARVAR TOLIB QIZI</t>
  </si>
  <si>
    <t xml:space="preserve">Jo'rayeva Moxinur Sulton qizi </t>
  </si>
  <si>
    <t>Vaydullayeva Farangiz Fayzullayevna</t>
  </si>
  <si>
    <t>Ismatova Umida Ural qizi</t>
  </si>
  <si>
    <t>Obidova Zarnigor Ibodulla qizi</t>
  </si>
  <si>
    <t>Haydarova Dilorom Sadriddin qizi</t>
  </si>
  <si>
    <t xml:space="preserve">Alisherova Aziza Alisher qizi </t>
  </si>
  <si>
    <t>Baratova Sabrina Aktam qizi</t>
  </si>
  <si>
    <t xml:space="preserve">Ubaydullayeva Zuhra Zokir qizi </t>
  </si>
  <si>
    <t>Daminova Dilnoza Zafar qizi</t>
  </si>
  <si>
    <t>Pardayeva Nafisa Soyib qizi</t>
  </si>
  <si>
    <t xml:space="preserve">Turayeva Sevinchbonu Tolibjon qizi </t>
  </si>
  <si>
    <t>Obidjonova Zulayho Obidjon qizi</t>
  </si>
  <si>
    <t>Axmatova Muxlisa Asror qizi</t>
  </si>
  <si>
    <t>Jalilova Roxila Shomirzayevna</t>
  </si>
  <si>
    <t xml:space="preserve">Otamurodova Xolida Ilxomjon qizi </t>
  </si>
  <si>
    <t xml:space="preserve">Quvvataliyeva Noila Fazliddinovna </t>
  </si>
  <si>
    <t>Eshtemirova Sevinch Sattor qizi</t>
  </si>
  <si>
    <t>Muhiddinova Gulchehra Qo'ziboy qizi</t>
  </si>
  <si>
    <t>Murtazayeva Iroda Mo'min qizi</t>
  </si>
  <si>
    <t>Xurramova Go'zal Rustam qizi</t>
  </si>
  <si>
    <t>Yo'ldosheva Barno Zoir qizi</t>
  </si>
  <si>
    <t>ESHBOBOYEVA MUHAYYO AMINJON QIZI</t>
  </si>
  <si>
    <t>Abdurahmonova Zebo Tolibovna</t>
  </si>
  <si>
    <t>Amirova Shodiyona Xasan qizi</t>
  </si>
  <si>
    <t>Bahodirova Sabrina Musurmon qizi</t>
  </si>
  <si>
    <t>Ibodullayeva  Madina Bahtiyor qizi</t>
  </si>
  <si>
    <t>Isomova Durdona Aktam qizi</t>
  </si>
  <si>
    <t>Jabborova Gulchiroy Normaxmat qizi</t>
  </si>
  <si>
    <t>Jo'raqulova Fotima Murtazo qizi</t>
  </si>
  <si>
    <t>Karamatova Umida Ulug'bek qizi</t>
  </si>
  <si>
    <t>Muratova Barno Jobur qizi</t>
  </si>
  <si>
    <t>Ortiqov Nodir Ziyadulla o'g'li</t>
  </si>
  <si>
    <t>To'raqulova Elnora Erkin qizi</t>
  </si>
  <si>
    <t>Shodiyev Ikromjon Eshpo'latovich</t>
  </si>
  <si>
    <t>Turayeva Manzura Yorqinovna</t>
  </si>
  <si>
    <t>Raxmatullayev Laziz Luqmon o'g'li</t>
  </si>
  <si>
    <t>Egamberdiyeva  Sevara Sherzod qizi</t>
  </si>
  <si>
    <t>Husanova Rayhona Husan qizi</t>
  </si>
  <si>
    <t>Jo'rayeva Farangiz Zioyodulla qizi</t>
  </si>
  <si>
    <t>Kamolova Marjona Sherali qizi</t>
  </si>
  <si>
    <t>Lutfullayeva Nargiza Zuvaydullo qizi</t>
  </si>
  <si>
    <t>Muxtorova Dilobar Alisher qizi</t>
  </si>
  <si>
    <t>Normahmatova Dilafro'z Adham qizi</t>
  </si>
  <si>
    <t>Qo'chqorova Nozima Husan qizi</t>
  </si>
  <si>
    <t>Qo'ldosheva  Dinora  Aktam qizi</t>
  </si>
  <si>
    <t>Raxmatova Shahlo Xolbobo qizi</t>
  </si>
  <si>
    <t>Sharipova Sevinch O'tkir qizi</t>
  </si>
  <si>
    <t>Shoimova Laziza Shavkat qizi</t>
  </si>
  <si>
    <t>Suyunova Marjona Ravshan qizi</t>
  </si>
  <si>
    <t>Temirova Shaxnoza G'ulomjon qizi</t>
  </si>
  <si>
    <t>Turopova Mahzuna Abdurasul qizi</t>
  </si>
  <si>
    <t>Yo'ldosheva Diyora Sherzod qizi</t>
  </si>
  <si>
    <t>Fayzullayeva Zuhra Bahrom qizi</t>
  </si>
  <si>
    <t>Xojimurodova Umida Pirnazar qizi</t>
  </si>
  <si>
    <t>Abdullayeva  Jasmina Xolbotir qizi</t>
  </si>
  <si>
    <t>Ahadqulova O'g'iloy Saidjon qizi</t>
  </si>
  <si>
    <t>Arziqulova  Zahro Azamat qizi</t>
  </si>
  <si>
    <t>Bekmurodova Farangiz Shuxrat qizi</t>
  </si>
  <si>
    <t>Boyeva Muxlisa Qurbonali qizi</t>
  </si>
  <si>
    <t>Ergasheva Dilobar O'tkir qizi</t>
  </si>
  <si>
    <t>Eshmurodova Gulsanam Rashid qizi</t>
  </si>
  <si>
    <t>Iskandarova Lobar Tura qizi</t>
  </si>
  <si>
    <t>Karimova Marjona Nosir qizi</t>
  </si>
  <si>
    <t>Keldiyorova Laylo Kamol qizi</t>
  </si>
  <si>
    <t>Nabiyeva Zebiniso Soyibjon qizi</t>
  </si>
  <si>
    <t>Nomozova Charos Shog'dor qizi</t>
  </si>
  <si>
    <t>Qurbonova Holida Boynazar qizi</t>
  </si>
  <si>
    <t>Suyunova Shahlo Tohir qizi</t>
  </si>
  <si>
    <t>Tursunova Sevinch Turg'un qizi</t>
  </si>
  <si>
    <t>Ziyodullayeva Munisa Sherzod qizi</t>
  </si>
  <si>
    <t>Inayotova Kumush Farhod qizi</t>
  </si>
  <si>
    <t xml:space="preserve">Jumayeva Xurshida Safar qizi
</t>
  </si>
  <si>
    <t>Abdualimova Vazira Ramazonovna</t>
  </si>
  <si>
    <t>Ergasheva Shodiyona Yo'doshevna</t>
  </si>
  <si>
    <t>Eshboboyeva Munisa Aminjon qizi</t>
  </si>
  <si>
    <t>Hasanova Gulhayo Akmalovna</t>
  </si>
  <si>
    <t>Rahmonqulovna Sevinch Rashid qizi</t>
  </si>
  <si>
    <t>Salimova Zarina Sobirjon qizi</t>
  </si>
  <si>
    <t>Tojiyev Munira Boborahmad qizi</t>
  </si>
  <si>
    <t>Yusupova Oygul Qurbonmurod qizi</t>
  </si>
  <si>
    <t>Bozorov Shahzod Azamat o'g'li</t>
  </si>
  <si>
    <t>Azizova Sevinchoy Shuxrat qizi</t>
  </si>
  <si>
    <t>Hazratova Umriniso Komil qizi</t>
  </si>
  <si>
    <t>Shodiyeva Sevinch Shavkat qizi</t>
  </si>
  <si>
    <t>Arzillayeva Dilorom Bahodir qizi</t>
  </si>
  <si>
    <t>01125</t>
  </si>
  <si>
    <t>00446</t>
  </si>
  <si>
    <t>?</t>
  </si>
  <si>
    <t>00433</t>
  </si>
  <si>
    <t>00440</t>
  </si>
  <si>
    <t>00083</t>
  </si>
  <si>
    <t>00450</t>
  </si>
  <si>
    <t>00973</t>
  </si>
  <si>
    <t>01048</t>
  </si>
  <si>
    <t>01190</t>
  </si>
  <si>
    <t>00014</t>
  </si>
  <si>
    <t>00176</t>
  </si>
  <si>
    <t>00491</t>
  </si>
  <si>
    <t>21</t>
  </si>
  <si>
    <t>+</t>
  </si>
  <si>
    <t>talim kredite</t>
  </si>
  <si>
    <t>Aminova Diyora Saidmurodovna</t>
  </si>
  <si>
    <t>Buxorova Farangiz Tufli qizi</t>
  </si>
  <si>
    <t>Mirzayeva Sevara Nematovna</t>
  </si>
  <si>
    <t>Mirzoyeva Nazira Suvon qizi</t>
  </si>
  <si>
    <t>Nazarova Mahliyo Xaqberdiyevna</t>
  </si>
  <si>
    <t>Pulatova Zuhra Narzullo qizi</t>
  </si>
  <si>
    <t>Qurbonova Umida Quziyevna</t>
  </si>
  <si>
    <t>Rashidova Shahzoda Suyun qizi</t>
  </si>
  <si>
    <t>Sharipova Pokiza Otabek qizi</t>
  </si>
  <si>
    <t>Shoymardonova Hilola Tohir qizi</t>
  </si>
  <si>
    <t>Xoliqova Marjona Bahtiyor qizi</t>
  </si>
  <si>
    <t>Yunusova Qurbonoy Kamol qizi</t>
  </si>
  <si>
    <t>Abdurashidova Maftuna Asadulla qizi</t>
  </si>
  <si>
    <t>Ahmadova Sevinch Lazizjon qizi</t>
  </si>
  <si>
    <t>Ergasheva Gulnoza Jamol qizi</t>
  </si>
  <si>
    <t>G'ulomova Sevinch Umurzoq qizi</t>
  </si>
  <si>
    <t>Kubayeva Madina Zoyir qizi</t>
  </si>
  <si>
    <t>Meliqulova Shalola Amonovna</t>
  </si>
  <si>
    <t>Nematjonova Marjona Tuychi qizi</t>
  </si>
  <si>
    <t>Norboboyeva Go'zal Azamat qizi</t>
  </si>
  <si>
    <t>Norxo'jayeva Charos Boxodirovna</t>
  </si>
  <si>
    <t>Qarshiyeva Kamola Rustam qizi</t>
  </si>
  <si>
    <t>Allajo'rayeva Diyora Abdusalom qizi</t>
  </si>
  <si>
    <t>Boltayeva Shaxlo Faxriddin qizi</t>
  </si>
  <si>
    <t>00401</t>
  </si>
  <si>
    <t>001 ga tulov qilgan</t>
  </si>
  <si>
    <t>Norquziyeva Gulnozaxon Umar qizi</t>
  </si>
  <si>
    <t>O'roqova Nilufar Nasrullo qizi</t>
  </si>
  <si>
    <t>Ro'ziyeva Moxira Shuxrat qizi</t>
  </si>
  <si>
    <t>Sattorova Sevinch Otabek qizi</t>
  </si>
  <si>
    <t>Avloqulova Dilobar</t>
  </si>
  <si>
    <t>Boboqulova Hilola Faxriddin qizi</t>
  </si>
  <si>
    <t>Jalilova Sabina Jahongir qizi</t>
  </si>
  <si>
    <t>Maxmudova Nigina Maqsudjon qizi</t>
  </si>
  <si>
    <t>Norqobilova Zarnigor Ikrom qizi</t>
  </si>
  <si>
    <t>Qurbonaliyeva Nargiza Qahramon qizi</t>
  </si>
  <si>
    <t>Salomova Jasmina Azamat qizi</t>
  </si>
  <si>
    <t>Toshpulatova Gulsevar Alisher qizi</t>
  </si>
  <si>
    <t>Ubaydullayeva Muxlisa Zubaydullo qizi</t>
  </si>
  <si>
    <t>Xalilova Zuhra Faxriddin qizi</t>
  </si>
  <si>
    <t>Xaydarova Gulsevar Asqar qizi</t>
  </si>
  <si>
    <t>Baratova Mahzuna</t>
  </si>
  <si>
    <t>Rustamova Madinabonu</t>
  </si>
  <si>
    <t>Abdullayeva Dildora A'zam qizi</t>
  </si>
  <si>
    <t>Aliyeva Marjona Anvar qizi</t>
  </si>
  <si>
    <t>Ilhomova Gulasal Nodir qizi</t>
  </si>
  <si>
    <t>Rahmatova Charos Alisher qizi</t>
  </si>
  <si>
    <t>Shamsiddinova Fotima Ramziddin qizi</t>
  </si>
  <si>
    <t>Toshmurodova Komila Nu'mon qizi</t>
  </si>
  <si>
    <t>Xaydarova Zebiniso Asqar qizi</t>
  </si>
  <si>
    <t>Ziyodullayeva Muxlisa Shuxrat qizi</t>
  </si>
  <si>
    <t>Amirova Intizoroy Xasan qizi</t>
  </si>
  <si>
    <t>Bozorova Marjona Sheraliyevna</t>
  </si>
  <si>
    <t>Djalolova Muslima Hamzaxon qizi</t>
  </si>
  <si>
    <t>Ergasheva Mohinur Akbar qizi</t>
  </si>
  <si>
    <t>Fayzullayeva Nasiba Murodullayevna</t>
  </si>
  <si>
    <t>Mamadiyeva Afruza Muxiddin qizi</t>
  </si>
  <si>
    <t>Murodullayeva Mehriniso G'ayrat qizi</t>
  </si>
  <si>
    <t>Nimatova Asila Akbar qizi</t>
  </si>
  <si>
    <t>Omonova Shaxnoza Nuriddin qizi</t>
  </si>
  <si>
    <t>Samiyeva Musallam Sirojiddin qizi</t>
  </si>
  <si>
    <t>Tojiddinov Idrisbek Ozod o'g'li</t>
  </si>
  <si>
    <t>Usmonova Asaloy G'ofur qizi</t>
  </si>
  <si>
    <t>Aliyeva Shahro'za Nishon qizi</t>
  </si>
  <si>
    <t>Begaliyeva Shodiyona Begali qizi</t>
  </si>
  <si>
    <t>Bekmirzayeva Shahrizoda Zafar qizi</t>
  </si>
  <si>
    <t>Erkinova Zahro Elyorjon qizi</t>
  </si>
  <si>
    <t>Eshqobilova Dilbar Ziyodulla qizi</t>
  </si>
  <si>
    <t>Jurayeva Munisa  Abduvohid qizi</t>
  </si>
  <si>
    <t>Mahmadiyorova Ruhshona Fahriddin qizi</t>
  </si>
  <si>
    <t>Muradova Oygul G'ulamovna</t>
  </si>
  <si>
    <t>Muxammedova E'zoza Sodiq qizi</t>
  </si>
  <si>
    <t>Rahmonova Mahfuza Anvar qizi</t>
  </si>
  <si>
    <t>Suvonova Sevinch Orif qizi</t>
  </si>
  <si>
    <t>Xolboboyeva Jasmina  Nurillo qizi</t>
  </si>
  <si>
    <t>Yusupova Dilnura Nuriddin qizi</t>
  </si>
  <si>
    <t>Yusupova Shahnoza Akram qizi</t>
  </si>
  <si>
    <t>Mavlonova Charos</t>
  </si>
  <si>
    <t>Axmadova Zarnigor Habibullo qizi</t>
  </si>
  <si>
    <t>Egamberdiyeva Shahlo Dagar qizi</t>
  </si>
  <si>
    <t>Homidova Asilaxon G'ulomjon qizi</t>
  </si>
  <si>
    <t>Ismoilova Xumoroy Qudratullo qizi</t>
  </si>
  <si>
    <t>Mavlonova Mastura Gulmurot qizi</t>
  </si>
  <si>
    <t>Meyliboyeva Xadicha Dilmurot qizi</t>
  </si>
  <si>
    <t>Odilova Marjona Bahodir qizi</t>
  </si>
  <si>
    <t>Sattorova Intizor Odil qizi</t>
  </si>
  <si>
    <t>Sayfullayeva Ruxshona Shavkat qizi</t>
  </si>
  <si>
    <t>Turdiqulova Sevinch Sadriddin qizi</t>
  </si>
  <si>
    <t>Xoliqulova Nozima Qalandar qizi</t>
  </si>
  <si>
    <t>Xudoyorova Shahzoda Shuxrat qizi</t>
  </si>
  <si>
    <t>Yusupova Hosila Akmal qizi</t>
  </si>
  <si>
    <t>Ibroximova Gulasal</t>
  </si>
  <si>
    <t>Toshpulatova Farzona</t>
  </si>
  <si>
    <t>Umirova Sevara Avlayor qizi</t>
  </si>
  <si>
    <t>Xudoykulova Munisa Muzurovna</t>
  </si>
  <si>
    <t>Abdujalolova Marjona Baxtiyor qizi</t>
  </si>
  <si>
    <t>Aliboyeva Malohat Baxtiyorovna</t>
  </si>
  <si>
    <t>Avloqulova Feruza Foziljonovna</t>
  </si>
  <si>
    <t>Eshpo'latova Dinora Sobir qizi</t>
  </si>
  <si>
    <t>Esonmurodova Nurgul Nuriddin qizi</t>
  </si>
  <si>
    <t>Nigmatova Feruza Asliddin qizi</t>
  </si>
  <si>
    <t>Nosirova Lola Begzot qizi</t>
  </si>
  <si>
    <t>Nosirova Umida Zafariddin qizi</t>
  </si>
  <si>
    <t>Olimova Durdona Uktam qizi</t>
  </si>
  <si>
    <t>Raxmonqulova Zulfiya Akromjon qizi</t>
  </si>
  <si>
    <t>Turayeva Malika Abdulaziz qizi</t>
  </si>
  <si>
    <t>Uralova Zilola Shavkat qizi</t>
  </si>
  <si>
    <t>Poyonova Gulsevar Baxtiyor qizi</t>
  </si>
  <si>
    <t>Boymurodova Marjona Fozliddin qizi</t>
  </si>
  <si>
    <t>Valiyeva Nilufar Abdirashit qizi</t>
  </si>
  <si>
    <t>Ibodullayeva Latofat Sayit qizi</t>
  </si>
  <si>
    <t>Muysinova Mahliyo Ravshan qizi</t>
  </si>
  <si>
    <t xml:space="preserve">Suyunova  Sevinch Obidjon qizi </t>
  </si>
  <si>
    <t>To'xliyeva Nilufar  Baxtiyor qizi</t>
  </si>
  <si>
    <t>Nigmatova Nazmina</t>
  </si>
  <si>
    <t>Xolbutayeva Husniya Mahmasodiq qizi</t>
  </si>
  <si>
    <t>Isamova Mohimbegim Mansur qizi</t>
  </si>
  <si>
    <t>Rahmonqulova  Gulsanam O'ktam qizi</t>
  </si>
  <si>
    <t xml:space="preserve">To'lqinova Soliha </t>
  </si>
  <si>
    <t>Usmonova Diyora Oybek qizi</t>
  </si>
  <si>
    <t>Mamasodiqova Durdona Shuxrat qizi</t>
  </si>
  <si>
    <t>Muhammadiyeva Rayxon Rahmatovna</t>
  </si>
  <si>
    <t>Shukurillayeva Dilnura Jasurbek qizi</t>
  </si>
  <si>
    <t>Hayitova Madina G'ayrat qizi</t>
  </si>
  <si>
    <t xml:space="preserve">Pardayeva Shahzoda </t>
  </si>
  <si>
    <t>Raxmatova Muxlisa  Faxriddin qizi</t>
  </si>
  <si>
    <t>Бир марталик туловлар (накд)                       200547792</t>
  </si>
  <si>
    <t>06</t>
  </si>
  <si>
    <t>yangi shot</t>
  </si>
  <si>
    <t>Raufova Ziyoda Abduvoid qizi</t>
  </si>
  <si>
    <t>Jabborova Laylo Maxmudjon qizi</t>
  </si>
  <si>
    <t xml:space="preserve">Sheg'oziyeva Dilyora Zikrillo qizi </t>
  </si>
  <si>
    <t>Ochilova Xolida Abdimurod qizi</t>
  </si>
  <si>
    <t>Boymurodova Mushtariy Bosun qizi</t>
  </si>
  <si>
    <t>Fayzullayeva Dilnavoz Jahongir qizi</t>
  </si>
  <si>
    <t>Habibullayev Asilbek Hasan o'g'li</t>
  </si>
  <si>
    <t>Haydarova Rayhona Anvar qizi</t>
  </si>
  <si>
    <t>Ibodova Parvina Abdurashid qizi</t>
  </si>
  <si>
    <t>Ibragimova Odina Azamat qizi</t>
  </si>
  <si>
    <t>Jo'raqulov Og'abek Azamatovich</t>
  </si>
  <si>
    <t>Mahmudjonova Mohinur Sanjar qizi</t>
  </si>
  <si>
    <t>Quysinova Sumbula G'ayrat qizi</t>
  </si>
  <si>
    <t>Safarova Shaxzoda Bahodir qizi</t>
  </si>
  <si>
    <t xml:space="preserve">Quddusova Marjona </t>
  </si>
  <si>
    <t xml:space="preserve">Shovxiddinova Latofat </t>
  </si>
  <si>
    <t>Yorboboyeva Shaxzoda Zokirovna</t>
  </si>
  <si>
    <t>Xayrullayeva Asolat Bahriddin qizi</t>
  </si>
  <si>
    <t>Abdullayeva Charos Kamoliddin qizi</t>
  </si>
  <si>
    <t>Ochilova Gulnora</t>
  </si>
  <si>
    <t xml:space="preserve">Qodirova O'g'iloy </t>
  </si>
  <si>
    <t>Shodiyeva Nilufar Omonovna</t>
  </si>
  <si>
    <t>Saidova Nozima Sanjar qizi</t>
  </si>
  <si>
    <t>Salomova Ozoda Raxim qizi</t>
  </si>
  <si>
    <t>Транзитный счет по безнал.переводом с ПК HUMO (Фил 200542744</t>
  </si>
  <si>
    <t>Оксарой ЭЦ т/счет по безнал.переводом с ПК HUMO (1 200542744</t>
  </si>
  <si>
    <t>Транзитный счет для разовых платежей               200542744</t>
  </si>
  <si>
    <t>Naqd pul mablag`i bo`yicha jismoniy shaxslarning ma203556638</t>
  </si>
  <si>
    <t>Т/счет для спис с ПК физлиц по другим платежам (70 200542744</t>
  </si>
  <si>
    <t>Жисмоний шахсларнинг бир марталик туловлари учун   200542744</t>
  </si>
  <si>
    <t>01119</t>
  </si>
  <si>
    <t>Банк филиалида жисмоний шахслардан бошка бир марта 207243390</t>
  </si>
  <si>
    <t>ЭЦ Оксарой Т/счет для спис с ПК физлиц по другим п 200542744</t>
  </si>
  <si>
    <t>Пластик карталар оркали бир мартталик туловлар буй 207215726</t>
  </si>
  <si>
    <t>Накд пулда бир мартталик туловлар буйича хисоб кит 207215726</t>
  </si>
  <si>
    <t>Жисмоний шахслардан бир марталик туловлар бош?а бан200547792</t>
  </si>
  <si>
    <t>Жисмоний шахслардан накд пул оркали кабул килинган 200836354</t>
  </si>
  <si>
    <t>Бир марталик туловлар бошка банкларга 1%           200547792</t>
  </si>
  <si>
    <t>Чакана амалиётлар кассаси БХМ "Ок Сарой"           200542744</t>
  </si>
  <si>
    <t>93</t>
  </si>
  <si>
    <t>Boymurodova Shahnoza Shuxrat qizi</t>
  </si>
  <si>
    <t>Ergasheva Marjona Lutfullo qizi</t>
  </si>
  <si>
    <t>Jumayeva Navruza Imomonazar qizi</t>
  </si>
  <si>
    <t>Sunnatillayeva E'zoza Jamshid qizi</t>
  </si>
  <si>
    <t>Boybutayeva Hosila Shuxrat qizi</t>
  </si>
  <si>
    <t>Normo'minova Asal  Qulmamatovna</t>
  </si>
  <si>
    <t>Niyozova Bibixonim Alisherovna</t>
  </si>
  <si>
    <t>01</t>
  </si>
  <si>
    <t>Т/счет для спис с ПК физлиц по другим платежам Узк 200542744</t>
  </si>
  <si>
    <t>"TEMIRYOLINFRATUZILMA" aksiyadorlik jamiyati       310920400</t>
  </si>
  <si>
    <t>00655Жулманов Ш нинг иш хакидан Бойбутаева Хосилойнинг укиши учун 15.03.26 йилдаги 362 шартномага асосан</t>
  </si>
  <si>
    <t>NORBOBOYEVA GUZAL AZAMAT QIZI                      201055108</t>
  </si>
  <si>
    <t>0000000004</t>
  </si>
  <si>
    <t>Bozorova Aziza Ravshan qizi</t>
  </si>
  <si>
    <t>0065504,09,2025й №25/26 Sh/A 107шартномага асосан ILHOMOVA GULASAL NODIRBEK QIZI(AD9773960)нинг контракт тулови от JABBOROVA UGILOY</t>
  </si>
  <si>
    <t>Яккабог ЭЦ т/счет по средствам,перечисляемым с ПК  200542744</t>
  </si>
  <si>
    <t>Chakana biznes bo&amp;#699;limi byudjet va boshqa to`lo200242936</t>
  </si>
  <si>
    <t>0065504,09,2025й №388 шартномага асосан NABIYEVA ZEBINISO SOYIBJON QIZI(AD2442920)нинг контракт тулови от NABIYEVA ZEBINISO</t>
  </si>
  <si>
    <t>8422272</t>
  </si>
  <si>
    <t>0066708/06/2026й №25/26 Sh/A388 сонли шартномага асосан Toshmurodova Sarvara нинг контракт тулови от TOSHMURODOVA SARVARA</t>
  </si>
  <si>
    <t>8412775</t>
  </si>
  <si>
    <t>0065501.12.2025 йилдаги №25/26 SH/A 520 сонли шартномага асосан контракт тулови учун утказилди от Юсупова Ойгул</t>
  </si>
  <si>
    <t>8458606</t>
  </si>
  <si>
    <t>0065518.03.2026й даги Шартнома №25/26 Sh/A365 га асосан 1-курс талабаси Суннатуллаева Эъзоза Жамшид кизи(AD4807056)нинг укиш тулови учун от Суннатуллаева Эъзоза</t>
  </si>
  <si>
    <t>8440462</t>
  </si>
  <si>
    <t>0065504.09.2025 №25/26 SH/A150 ga asosan MAMADIYEVA AFRUZA MUHIDDIN QIZI(AD1928284) ning kontrakt tulovi uchun от MAMADIYEVA AFRUZA</t>
  </si>
  <si>
    <t>0068798852</t>
  </si>
  <si>
    <t>00655Абдирашидова Мафтуна Асадулла кизи укиши учун</t>
  </si>
  <si>
    <t>38600961</t>
  </si>
  <si>
    <t>00111QUDUSOVA MARJONA 22.12.2025  25/26 SH/A 339  SHART-GA AS-N  KONTRAKT TULOVI</t>
  </si>
  <si>
    <t>8527465</t>
  </si>
  <si>
    <t>001417.11.2025 йил шартнома № 215 га асосан Журакулов Огабек Азаматовични укиш контракт тулови от Журакулов Огабек</t>
  </si>
  <si>
    <t>8528127</t>
  </si>
  <si>
    <t>0066725.03.2026й №25/26 Sh/A367 сонли шартномага асосан BOYMURODOVA SHAHNOZA нинг контракт тулови от BOYMURODOVA SHAHNOZA</t>
  </si>
  <si>
    <t>8513918</t>
  </si>
  <si>
    <t>0066704.09.2025й №25/26 Sh/A 140 сонли шартномага асосан Бозорова Маржонанинг контракт тулови от BURXONOV NURIDDIN</t>
  </si>
  <si>
    <t>8513859</t>
  </si>
  <si>
    <t>0066704092025й №25/26 Sh/A 140 сонли шартномага асосан Бозорова Маржонанинг контракт тулови от BURXONOV NURIDDIN</t>
  </si>
  <si>
    <t>8528674</t>
  </si>
  <si>
    <t>0065512,01,2026й №25/26 Sh/A 346 шартномага асосан SHOVXIDDINOVA LATOFAT RUZIMUROD QIZI(AB7877734)нинг контракт тулови от SHOVKIDDINOVA LATOFAT</t>
  </si>
  <si>
    <t>8541637</t>
  </si>
  <si>
    <t>0065501.12.2025Й №510 шартномага асосан Курбонова Умида Кузиевнанинг контракт тулови от КУРБОНОВА УМИДА</t>
  </si>
  <si>
    <t>8549868</t>
  </si>
  <si>
    <t>8557261</t>
  </si>
  <si>
    <t>0065522.06.2026 йилдаги №26/27 SH/A07-сонли шартномага кура Тураева Севинчнинг контракт тулови учун от Юлдошев Суннатилло</t>
  </si>
  <si>
    <t>371332705</t>
  </si>
  <si>
    <t>00995МУЙСИНОВА МАХЛИЁ РАВШАН КИЗИ КОНТРАКТ ТУЛОВИ</t>
  </si>
  <si>
    <t>8593500</t>
  </si>
  <si>
    <t>0066704.09.2025й Шартнома №25/26 Sh/A 140 га асосан BOZOROVA MARJONA SHERALI QIZI нинг укув контракт тулови учун утказилди (АВ9652361) от Бурхонов Нуриддин</t>
  </si>
  <si>
    <t>8598195</t>
  </si>
  <si>
    <t>0066704092025 йил №25/26 шартнома асосан Мамасодикова Дурдона Шухрат кизи укиш учун утказилди от ТУЛАВБОЕВА ДИЛДОР</t>
  </si>
  <si>
    <t>8596588</t>
  </si>
  <si>
    <t>0065504.09.2025 №25/26 SH/A 229 ga asosan MOVLONOVA MASTURA GULMURAT QIZI(AD2061328) ning kontrakt tulovi uchun от BEKMURODOVA MUKARRAM</t>
  </si>
  <si>
    <t>793</t>
  </si>
  <si>
    <t>8660138</t>
  </si>
  <si>
    <t>0065504.09.2025й Шартнома№25/26 sh/a 6 га асосан талаба Boyeva Muxlisa Qurbonali qiziнинг 2-курс 50910203-Хамширалик иши учун контракт тулови утказилди от RASULOV ABROR</t>
  </si>
  <si>
    <t>8665229</t>
  </si>
  <si>
    <t>00667Обиджонова Зулайхо Обиджон кизи шартнома тулови пф60604065590012 от ОБИДЖОНОВА ЗУЛАЙХО</t>
  </si>
  <si>
    <t>Т/счет для списания  с БПК физических лиц по други 200542744</t>
  </si>
  <si>
    <t>8660569</t>
  </si>
  <si>
    <t>01168</t>
  </si>
  <si>
    <t>0066701.12.2025 yil kungi №25/26 Sh/A 500-sonli shartnomaga asosan ABDUALIMOVA VAZIRA RAMAZON QIZI(AB7771069)ning kontrakt tolovi otkazildi от ABDUALIMOVA VAZIRA RAMAZON QIZI</t>
  </si>
  <si>
    <t>8706987</t>
  </si>
  <si>
    <t>0066704.09.2025 йил №25/26 Sh/A 260 шартномага асосан 1-курс талабаси Умирова СевараАвлаёр кизининг укиши учун тулов от UMIROVA SEVARA</t>
  </si>
  <si>
    <t>8722118</t>
  </si>
  <si>
    <t>001421,01,2026 йил шартномага асосан Абдуллаева Чарос Камолиддин кизини укиш контарт тулови от Абдуллаева Чарос</t>
  </si>
  <si>
    <t>8756690</t>
  </si>
  <si>
    <t>0065504.09.2025й Шартнома№25/26 sh/a 385 га асосан талаба JURAYEVA MUNISA ABDUVOXID QIZIнинг (AE2822238) 1-rehc 40910203-хамширалик иши учун контракт тулови утказилди от JURAYEVA MUNISA ABDUVOXID QIZI</t>
  </si>
  <si>
    <t>8754624</t>
  </si>
  <si>
    <t>0065501.12.2025 йилдаги №25/26 SH/A 506-сонли шартномага асосан контракт тулови учун от Мирзаева Севара Неъмат кизи</t>
  </si>
  <si>
    <t>8777031</t>
  </si>
  <si>
    <t>0065517.02.2026 йилдаги №25/26 SH/A358-сонли шартномага кура контракт тулови учун от Очилова Гулнора</t>
  </si>
  <si>
    <t>8807753</t>
  </si>
  <si>
    <t>00667TOSHPULATOVA FARZONA BAXTIYOR QIZIнинг контракт тулови от TOSHPULATOVA FARZONA</t>
  </si>
  <si>
    <t>8801846</t>
  </si>
  <si>
    <t>0065504,09,2025 №25/26 SH/A 149 ga asosan MURODILLAYEVA MEHRINISO ning kredit tulovi uchun от MURODILLAYEVA MEHRINISO</t>
  </si>
  <si>
    <t>8799911</t>
  </si>
  <si>
    <t>0066704.09.2025 YILDAGI № 25/26 SH/A84 SONLI SHARNOMAGA ASOSAN 1-KURS (AD9453010) XALILOVA ZUHRA FAXRIDDIN QIZINING KANTRAK TULOVI от XALILOVA ZUHRA FAXRIDDIN QIZI</t>
  </si>
  <si>
    <t>8804089</t>
  </si>
  <si>
    <t>0065504,09,2025й №106 шартномага асосанTOSHMURODOVA KOMILA NU`MON QIZI(AD9710941)нинг контракт тулови от TOSHMUROTOVA KOMILA</t>
  </si>
  <si>
    <t>8812948</t>
  </si>
  <si>
    <t>00655VALIEVA NILUFAR ABDURASHID QIZI (AE6714720)нинг контракт тулови утказилди от RAXIMOVA NARGIZA</t>
  </si>
  <si>
    <t>8800960</t>
  </si>
  <si>
    <t>0066704.09.2025 йил №25/26 Sh/A 266 шартномага асосан 1-курс талабаси Махмудова Нигина Максуджон кизининг укиши учун тулов от MAXMUDOVA NIGINA MAQSYDJON QIZI</t>
  </si>
  <si>
    <t>YULDUZ RAXIMOVA                                    309016201</t>
  </si>
  <si>
    <t>13498525</t>
  </si>
  <si>
    <t>00667Pirnazariva Jasmina Kontrakt tulovi uchun</t>
  </si>
  <si>
    <t>8810440</t>
  </si>
  <si>
    <t>0066704.09.2025 йил №233 шартномага асосан MEYLIBOYEVA XADICHA DILMUROD QIZI нинг контракт тулови от MEYLIBOYEVA XADICHA</t>
  </si>
  <si>
    <t>8802018</t>
  </si>
  <si>
    <t>0066722.10,2025 йил №218 шартномага асосан Хайдарова Райхона (AD 9032775)нинг контракт тулови от Хайдаров Анвар</t>
  </si>
  <si>
    <t>8841230</t>
  </si>
  <si>
    <t>0066704.09.2025 йил №25/26 Sh/A 266 шартномага асосан 1-курс талабаси Махмудова Нигина Максуджон кизининг укиши учун тулов от MAXMUDOVA NIGINA MAQSUDJON QIZI</t>
  </si>
  <si>
    <t>8837992</t>
  </si>
  <si>
    <t>0066701.12.2025й №25/26 Sh/A509 сонли шартномага асосан PULATOVA ZUHRA нинг контракт тулови от PULATOVA ZUHRA</t>
  </si>
  <si>
    <t>8840516</t>
  </si>
  <si>
    <t>8834584</t>
  </si>
  <si>
    <t>0065518.11.2026Й №339 шартномага асосан Очилова Холидахон Абдииурот кизининг контракт тулови от ОЧИЛОВА ХОЛИДАХОН</t>
  </si>
  <si>
    <t>8823338</t>
  </si>
  <si>
    <t>0066704.09.2025й №25/26 Sh/A137 сонли шартномага асосан NEYMATOVA ASILA нинг контракт тулови от ХАЛИМОВА МАХФУЗА</t>
  </si>
  <si>
    <t>8855787</t>
  </si>
  <si>
    <t>00655талаба XOLBOBOYEVA JASMINA NURULLO QIZIнинг контракт тулови утказилди от XOLBOBOYEVA JASMINA</t>
  </si>
  <si>
    <t>8840542</t>
  </si>
  <si>
    <t>0009711419</t>
  </si>
  <si>
    <t>00655Egamberdiyeva Sevara Sherzod qizi ning kantrakt to`lovi</t>
  </si>
  <si>
    <t>8823281</t>
  </si>
  <si>
    <t>0066704.09.2025й №25/26 Sh/A137 сонли шартномага асосан NEYMATOVA ASILA нинг контракт тулови от NEYMATOVA ASILA</t>
  </si>
  <si>
    <t>8900998</t>
  </si>
  <si>
    <t>001417.03.2026 йил шартнома № 362 га асосан Бойбутаева Хосила Шухрат кизини укиш контракт тулови от Бойбутаева Хосила</t>
  </si>
  <si>
    <t>8876082</t>
  </si>
  <si>
    <t>0066527.06.2026 й Шартнома№26/27 sh/a 21 га асосан талаба TURAYEVA GULASAL JURA QIZI нинг контракт тулови утказилди от TURAYEVA GULASAL JURA QIZI</t>
  </si>
  <si>
    <t>8886987</t>
  </si>
  <si>
    <t>00655Холикова Маржона Бахтиёр кизининг контракт тулови учун утказилди от Холикова Маржона Бахтиёр кизи</t>
  </si>
  <si>
    <t>8903750</t>
  </si>
  <si>
    <t>00655SHOYMARDONOVA HILOLA TOHIR QIZI(AD5827795)нинг контракт тулови от SHOYMARDONOVA HILOLA</t>
  </si>
  <si>
    <t>8870483</t>
  </si>
  <si>
    <t>00655VALIEVA NILUFAR ABDURASHID QIZI(AE6714720)нинг контракт тулови утказилди от RAXIMOVA NARGIZA</t>
  </si>
  <si>
    <t>8921203</t>
  </si>
  <si>
    <t>0065508,07,2026й №26/27 Sh/A 45 шартномага асосан ESHBOBOYEVA FOTIMA NURALI QIZI(AD0697178)нинг контракт тулови от ESHBOBOYEVA FOTIMA</t>
  </si>
  <si>
    <t>8918202</t>
  </si>
  <si>
    <t>0065501.12.2025 йилдаги №25/26 SH/A-507 сонли шартномага асосан контракт тулови учун от Мирзаева Назира Сувон кизи</t>
  </si>
  <si>
    <t>8954564</t>
  </si>
  <si>
    <t>001405.11.2025 йил шартнома № 332 га асосан Хабибуллаев Аслбек Хасан углини укиш контракт тулови от Хабибуллаев Аслбек</t>
  </si>
  <si>
    <t>8938484</t>
  </si>
  <si>
    <t>0065522.12.2025 йилдаги №25/26 SH/A-сонли шартномага асосан Кудусова Маржона Рахимкуловнанинг контракт тулови учун от Рахмонова Нигора</t>
  </si>
  <si>
    <t>8955077</t>
  </si>
  <si>
    <t>0065519,02,2026й №25/26 Sh/A шартномага асосан QODIROVA O`G`LOY NURIDDIN QIZI(AD1321784)нинг контракт тулови от Кодирова Угилой</t>
  </si>
  <si>
    <t>8970168</t>
  </si>
  <si>
    <t>006550065524.06.2026 Y №26/27 SH/A14 SHARTNOMAGA ASOSAN XAMDAMOVA MADINA ABDUQODIR QIZI (AB8517012) NING KONTRAKT TULOVI от MEYLIKOVA MAXFUZA</t>
  </si>
  <si>
    <t>8972507</t>
  </si>
  <si>
    <t>0065504.09.2025 йилдаги №25/26 SH/A 32 сонли шартномага асосан контракт тулови учун утказилди от Кулдошева Денора Актам кизи</t>
  </si>
  <si>
    <t>8999396</t>
  </si>
  <si>
    <t>001417,03,2026 йил шартнома № 363 га асосан Жумаева Навруза Имомназар кизини укиш контракт тулови от Жумаева Навруза Имомназар кизи</t>
  </si>
  <si>
    <t>8999270</t>
  </si>
  <si>
    <t>0066715.01.2026 йил шартнома № 351 га асосан Саломова Озода Рахим кизини укиш контракт тулови от Саломова Озода Рахим кизи</t>
  </si>
  <si>
    <t>9002090</t>
  </si>
  <si>
    <t>00655SHARTNOMAGA ASOSAN SAMIYEVA MUSALLAM SIROJIDDIN QIZI NING KONTRAKT TULOVI UCHUN от MANNONOVA SURAYYO</t>
  </si>
  <si>
    <t>0006576361</t>
  </si>
  <si>
    <t>00099Сатторова Интизор Одил кизи томонидан Шартномага асосан контракт тулови</t>
  </si>
  <si>
    <t>9057688</t>
  </si>
  <si>
    <t>00655талаба TEMIROVA SHAXNOZA GULOMJON QIZIнинг(AD6038032) контракт тулови утказилди от TEMIROVA SHAXNOZA</t>
  </si>
  <si>
    <t>0006576219</t>
  </si>
  <si>
    <t>00099Сафарова Шахзода Баходир кизи томонидан Шартномага асосан контракт тулови</t>
  </si>
  <si>
    <t>9064966</t>
  </si>
  <si>
    <t>0066704.09.2025 YILDAGI № 25/26 SH/A 33 SONLI SHARNOMAGA ASOSAN 2-KURS (AD6361429) HUSANOVA RAYXONA HUSAN QIZINING KANTRAK TULOVI от HUSANOVA RAYXONA HUSAN QIZI</t>
  </si>
  <si>
    <t>9068631</t>
  </si>
  <si>
    <t>0066725.03.2026й №25/26 Sh/A367 сонли шартномага асосан Боймуродова Шахнозанинг контракт тулови от Боймуродова Шахноза</t>
  </si>
  <si>
    <t>9062834</t>
  </si>
  <si>
    <t>0065504.09.2025 йилдаги №25/26 SH/A57-сонли шартномага асосан контракт тулови учун от Исомова Дурдона Акрам кизи</t>
  </si>
  <si>
    <t>9063195</t>
  </si>
  <si>
    <t>0066712.09.2025 YILDAGI № 24/25 SH/A 41 -SONLI SHARNOMAGA ASOSAN 2-KURS (AD5432156) SHIMOVA LAZIZA SHAVKAT QIZINING KANTRAK TULOVI от SHIMOVA LAZIZA</t>
  </si>
  <si>
    <t>9087086</t>
  </si>
  <si>
    <t>0065501.12.2025 йил №25/26 SH/A 515 сонли шартномага асосан контракт тулови учун утказилди от Тожиева Мунира</t>
  </si>
  <si>
    <t>39233939</t>
  </si>
  <si>
    <t>00111LUTFULLAYEVA NARGIZA ZUVAYDULLO QIZI 25/26 SH/A.04.09.2025 SONLI SHARTNOMAGA ASOSAN KANTRAKT TULOVI</t>
  </si>
  <si>
    <t>9146994</t>
  </si>
  <si>
    <t>0065504,09,2025й №25/26 SH/A 177 шартномага асосан MUHAMMEDOVA E`ZOZA SODIQ QIZI(АВ8047094)нинг контракт тулови от ESHNAYEV BAXROM</t>
  </si>
  <si>
    <t>9157030</t>
  </si>
  <si>
    <t>0065522.04.2026 №25/26 SH/A 375 ga asosan BOZOROVA AZIZA RAVSHAN QIZI ning kontrakt tulovi uchun от BOZOROVA AZIZA</t>
  </si>
  <si>
    <t>372517728</t>
  </si>
  <si>
    <t>00995BURIYEVA MOHIRA ABDUG'AFFOR QIZI SHARTNOMAGA ASOSAN KANTRAKT TULOVI UCHUN</t>
  </si>
  <si>
    <t>9186931</t>
  </si>
  <si>
    <t>0066726.06.2026й №26/27 Sh/A20 сонли шартномага асосан Темирбоева Ироданинг контракт тулови утказилди от ТОЖИЕВА КЛАРА</t>
  </si>
  <si>
    <t>9198297</t>
  </si>
  <si>
    <t>0065504.09.2025й Шартнома№25/26 sh/a 186 га асосан талаба Болтаева Шахло Фахриддин кизининг 1-курс 40910203-Хамширалик иши учун контракт тулови утказилди от BOLTAEVA SHAXLO</t>
  </si>
  <si>
    <t>9194129</t>
  </si>
  <si>
    <t>0065517.02.2026 йилдаги №25/26 SH/A 358-сонли шартномага асосан контракт тулови учун от Очилова Гулнора Жураевна</t>
  </si>
  <si>
    <t>9236319</t>
  </si>
  <si>
    <t>0066717.07.2026й №26/27 Sh/A 65 сонли шартномага асосан Исомиддинова Рухшонанинг контракт тулови утказилди от YULDOSHEVA DILNOZA</t>
  </si>
  <si>
    <t>9278872</t>
  </si>
  <si>
    <t>0066718.06.2026й №26/27Sh/A02 сонли шартномага асосан XURRAMOVA SHODIYA AROL QIZI нинг коньракт тулови от XURRAMOVA SHODIYA</t>
  </si>
  <si>
    <t>9268348</t>
  </si>
  <si>
    <t>0065503.07.2026 йилдаги №26/27 SH/A 33-сонли шартномага асосан контракт тулови учун от Ахмадова Муниса</t>
  </si>
  <si>
    <t>Чакана амалиётлар кассаси филиал                   200542744</t>
  </si>
  <si>
    <t>9292025</t>
  </si>
  <si>
    <t>001420,07,2026й №26/27 Sh/A 79 шартномага асосан UMAROVA IRODA MUZAFFAR QIZI(AE5293914)нинг контракт тулови от Назарова Ойша</t>
  </si>
  <si>
    <t>9291251</t>
  </si>
  <si>
    <t>001422.06.2026й Шартнома№26/27 sh/a 05 га асосан талаба ESHPULATOAV SHAHNOZA SHERALI QIZIнинг 1-курс 40910203-Хамширалик иши учун контракт тулови утказилди от SHERALIEVA NARGIZA</t>
  </si>
  <si>
    <t>9292121</t>
  </si>
  <si>
    <t>001420,07,2026й №26/27 Sh/A 74 шартномага асосан SAYDALIMOVA RUXSHONA SHAROFIDDIN QIZI(AE3352294)нинг контракт тулови от Амонова Сожида</t>
  </si>
  <si>
    <t>9329157</t>
  </si>
  <si>
    <t>0066722.06.2026 йил №26/27 Sh/A 06 шартномага асосан 1-курс талабаси Турабоева Сабринанинг укиши учун тулов от Турабоева Сабрина</t>
  </si>
  <si>
    <t>9326135</t>
  </si>
  <si>
    <t>0065522.06.2026й Шартнома№ 26/27 sh/a 11 га асосан талаба Тошева Азиза Шерзод кизининг 1-курс 40910203-Хамширалик иши учун контракт тулови утказилди от TOSHEVA AZIZA</t>
  </si>
  <si>
    <t>372927932</t>
  </si>
  <si>
    <t>00995Meyliqulova Hilola Farhod qizi Kontrakt tulovi</t>
  </si>
  <si>
    <t>9344988</t>
  </si>
  <si>
    <t>0066703.07.2026йил шартномага асосан Сайфиева Зарина Ахмад Кизи(AD7984192)нинг контракт тулови от МАХМУДОВА ЗАМИРА</t>
  </si>
  <si>
    <t>9346202</t>
  </si>
  <si>
    <t>0066719.06.2026 YILDAGI №26/27 Sh/A 03 SONLI SHARTNOMAGA ASOSAN SAYFILLAYEVA SHODIYONA NING KONTRAKT TO'LOVI O'TKAZILDI (AE4385111) Банка «Ипак Йули»(10111) QARSHI TIBBIYOT TEXNIKUMI NTM от SAYFILLAYEVA SHODIYONA</t>
  </si>
  <si>
    <t>9350822</t>
  </si>
  <si>
    <t>0065507.07.2026й №26/27 Sh/A 44 шартномага асосан BAHODIROVA ASILA OLMOS QIZI(AE1222596)нинг контракт тулови от SUVONOV OLMOS</t>
  </si>
  <si>
    <t>Qo&amp;#699;ylik BXO byudjet va boshqa to`lovlar uchun 200242936</t>
  </si>
  <si>
    <t>0009842143</t>
  </si>
  <si>
    <t>00655JABBOROVA LAYLO KONTARKT TO`LOVI 99-262-02-07</t>
  </si>
  <si>
    <t>9402125</t>
  </si>
  <si>
    <t>0066713.07.2026й №26/27 Sh/A55 сонли шартномага асосан QARSHIYEVA SHAHLO нинг контракт тулови утказилди от QARSHIYEVA SHAHLO</t>
  </si>
  <si>
    <t>JURAYEVA DILNOZ G`OIBNAZAROVNA                     201055108</t>
  </si>
  <si>
    <t>0000000006</t>
  </si>
  <si>
    <t>00111JURAYEVA DILNOZ GOIBNAZAROVNANING SHARTNOMAGA №26/27 ASOSAN UQISH TULOVI JURAYEVA DILNOZ G`OIBNAZAROVNA</t>
  </si>
  <si>
    <t>0199133109</t>
  </si>
  <si>
    <t>00667 Berdimurodova Nafosat AD9709558 kantrakt tulovi uchun</t>
  </si>
  <si>
    <t>837</t>
  </si>
  <si>
    <t>00655 Жулманов Ш нинг иш хакидан Бойбутаева Хосилойнинг укиши учун 15.03.26 йилдаги 362 шартномага асосан</t>
  </si>
  <si>
    <t>39634355</t>
  </si>
  <si>
    <t>00111TOSHPULATOVA ASILA №SH/A 112.29.07.2026 SONLI SHARTNOMAGA ASOSAN KANTRAKT TULOVI</t>
  </si>
  <si>
    <t>9522545</t>
  </si>
  <si>
    <t>0066701.12.2025 йил №25/26 Sh/A513 шартномага асосан 2-курс талабаси Шарифжонова Покиза Отабек кизининг укиши учун тулов от Шарифжонова Покиза Отабек кизи</t>
  </si>
  <si>
    <t>9525599</t>
  </si>
  <si>
    <t>0066706.08.2026 YILDAGI № 26/27 SH/A148 SONLI SHARNOMAGA ASOSAN 1-KURS UROQOVA JASMINA JASUR QIZINING KANTRAK TULOVI от UROQOVA JASMINA JASUR QIZI</t>
  </si>
  <si>
    <t>0006664828</t>
  </si>
  <si>
    <t>00099Ахмадова Севинч Лазизжон кизи томонидан шартномага асосан кантрак  тулови</t>
  </si>
  <si>
    <t>9533788</t>
  </si>
  <si>
    <t>0066705.08.2026 йилдаги №26/27 Sh/A146 сонли шартномага асосан Samatova Oydin Sulaymonovna ни укиши учун утказилди от Samatova Oydin Sulaymonovna</t>
  </si>
  <si>
    <t>ЧАК 01109 "Китоб" БХМ прочие разовые платежи       201055090</t>
  </si>
  <si>
    <t>13708499</t>
  </si>
  <si>
    <t>00108Xurramova Shahnoza Shuhrat qizi 01.07.2026-yil № 26/27 SH/A 29 shartnomaga asosan kontrakt tulovi</t>
  </si>
  <si>
    <t>9556749</t>
  </si>
  <si>
    <t>00667файзуллаева Дилнавоз Жахонгир Кизининг контракт тулови от МИНГБОЕВА ДИЛБАР</t>
  </si>
  <si>
    <t>9574696</t>
  </si>
  <si>
    <t>0065517.08.2026й Шартнома№25/26 sh/a 358 га асосан талаба OCHILOVA GULNORA JURAEVNA нинг 1-курс 50910203-Хамширалик иши учун контракт тулови утказилди от OCHILOVA GULNORA</t>
  </si>
  <si>
    <t>9576140</t>
  </si>
  <si>
    <t>00655ШАМСИЕВА ФОТИМА ШАРТНОМА №26/27 SH/А107 27.07.2026 йилга асосан укиш учун тулов. от ШАМСИЕВА ФОТИМА</t>
  </si>
  <si>
    <t>9587262</t>
  </si>
  <si>
    <t>0065520,07,2026й №26/27 Sh/A 75 шартномага асосан YORBOBOYEVA MAHLIYO XUSAN QIZI(AB9239333)нинг контракт тулови от YORBOBOYEVA MAHLIYO</t>
  </si>
  <si>
    <t>9584387</t>
  </si>
  <si>
    <t>0066731.07.2026 йил шартномага асосан Ergasheva Shabbona(АЕ 2374828) нинг контракт тулови от ERGASHEVA SHABBONA</t>
  </si>
  <si>
    <t>39697033</t>
  </si>
  <si>
    <t>00111XAYDAROVA IRODA ZARIF QIZI №26/27 SH/A 113.29.07.2026 SONLI SHARTNOMAGA ASOSAN KANTRAKT TULOVI</t>
  </si>
  <si>
    <t>Саидова Нозима Санжар кизи                         201055108</t>
  </si>
  <si>
    <t>00111Саидова Нозима Санжар кизининг 04.03.2026 йилдаги №25/26 Sh/A361-сонли шартномага асосан укиши учун тулови Саидова Нозима Санжар кизи</t>
  </si>
  <si>
    <t>9578359</t>
  </si>
  <si>
    <t>0065529.06.2026й Шартнома№26/27 sh/a 26 га асосан талаба Halimova Sevinch(AD8735102) нинг контракт тулови утказилди от ESHONQULOVA SHAXNOZA</t>
  </si>
  <si>
    <t>9469581</t>
  </si>
  <si>
    <t>0066701.08.2026 йил №120 шартномага асосан Махмудова Мафтуна(AE4270256)нинг контракт тулови от ХОЛИКОВ ТУРА</t>
  </si>
  <si>
    <t>9468067</t>
  </si>
  <si>
    <t>0065511.07.2026 №26/27 SH/A 52 ga asosan Xurramova Sabina (AC3081523) ning kontrakt tulovi uchun от ABDULLAYEV YULDOSH</t>
  </si>
  <si>
    <t>0006652044</t>
  </si>
  <si>
    <t>00099Норкузиева Гулнозахон Умар кизи томонидан шартомага асосан кантрак тулови</t>
  </si>
  <si>
    <t>Шахрисабз туман хокимлиги                          201602447</t>
  </si>
  <si>
    <t>2516900885</t>
  </si>
  <si>
    <t>00602305022860102457109601018001~201602447~Шахрисабз туман хокимлиги~Дог№ON65657481 от 10.08.2026    Shahrisabz tumani "Miraki " MFY "mahalla yettilligi"ning "Yoshlar daftari" jamg`armasining Ijtimoiy yordam ajranish bo`yicha Kollegial Qarori №ON6565748   Ibodova parvina abdurashid qizi  bir martalik kantirakt tulov utqazildi.; Ст.  45.40000-4000000.00</t>
  </si>
  <si>
    <t>9716063</t>
  </si>
  <si>
    <t>0066727.08/2026 йил №108 шартномага асосан Холмахматова Севинчнинг контракт тулови от XOLMAXMATOVA SEVINCH</t>
  </si>
  <si>
    <t>9708075</t>
  </si>
  <si>
    <t>0066724.07.2026 йил №2627 Sh/A93 шартномага асосан 1-курс талабаси Зарифова Маржона Самижон кизининг укиши учун тулов от ZARIFOVA MARJONA</t>
  </si>
  <si>
    <t>9431840</t>
  </si>
  <si>
    <t>0066722.07.2025 YILDAGI № 26/27 SH/A 86 SONLI SHARNOMAGA ASOSAN 1-KURS AZAMOV SHOXIJAXON SHERALI OGLINING KANTRAK TULOVI от XOLMIRZAYEVA SABIHAT</t>
  </si>
  <si>
    <t>9432834</t>
  </si>
  <si>
    <t>0065530.07.2026 йилдаги №26/27 SH/A 116-сонли шартномага асосан Хайруллаева Умиданинг контракт тулови учун от Ражабов Сафар</t>
  </si>
  <si>
    <t>39515961</t>
  </si>
  <si>
    <t>00111OCHILDIYEVA DINORA OTABEK QIZI 22.07.2026Y. 26/27 SH/A-87 SHARTNOMAGA ASOSAN KONTRAKT TULOVI</t>
  </si>
  <si>
    <t>9447683</t>
  </si>
  <si>
    <t>0065505.11.2025й Шартнома№25/26 sh/a 33 га асосан талаба Ибрагимова Одина Азамат кизи нинг 1-курс контракт тулови утказилди от IBRAGIMOV AKMAL</t>
  </si>
  <si>
    <t>9740564</t>
  </si>
  <si>
    <t>0066720.07.2026 йил №72 шартномага асосан Муродова Рухшона(АЕ3287114)нинг контракт тулови от MURODOVA RUHSHONA</t>
  </si>
  <si>
    <t>9740654</t>
  </si>
  <si>
    <t>0066727.07.2026йил №106 шартномага асосан Нумонова Жасмина(АЕ1748671)нинг контракт тулови от ТУРАЕВ БАХОДИР</t>
  </si>
  <si>
    <t>0069925323</t>
  </si>
  <si>
    <t>00111Суюнова Мафтуна Акбар кизи 1-курс талабаси кантракт тулови</t>
  </si>
  <si>
    <t>9791292</t>
  </si>
  <si>
    <t>00655Худойназарова Озода Илхом кизи шартнома №26/27 sh/А184 14,08,2026 га асосан укиш учун тулов от Худойназарова Озода</t>
  </si>
  <si>
    <t>9802297</t>
  </si>
  <si>
    <t>0065501.12.2025й Шартнома№25/26 sh/a 333 га асосан талаба IBODOVA PARVINA ABDURASHIDOVNA нинг 1-курс 50910203- хамширалик иши учун контракт тулови утказилди от IBODOVA PARVINA ABDURASHIDOVNA</t>
  </si>
  <si>
    <t>9791076</t>
  </si>
  <si>
    <t>00655Худойназарова Озода Илхом кизи шартнома №26/27 sh/А184 14,08,2026 га асосан укиш учун тулов. от MUMINOV XUDAYNAZAR</t>
  </si>
  <si>
    <t>9786388</t>
  </si>
  <si>
    <t>0066705,07,2026 йил шартнолма № 97 га асосан Гайратова Жасмина Шерали кизини укиш контракт тулови от Гайратова Жасмина</t>
  </si>
  <si>
    <t>9785624</t>
  </si>
  <si>
    <t>0066724.07.2026 YILDAGI № 26/27 SH/A 94 SONLI SHARNOMAGA ASOSAN 1-KURS (AD9664280) ISLOMOVA NILUFAR ABDUXAFIZ QIZINING KANTRAK TULOVI от ISLOMOVA NILUFAR ABDUXAFIZ QIZI</t>
  </si>
  <si>
    <t>9789257</t>
  </si>
  <si>
    <t>0066704.08.2026й №26/27 Sh/A140 сонли шартномага асосан Абдиева сабинанинг контракт тулови от HAYITOVA GUZAL</t>
  </si>
  <si>
    <t>9838372</t>
  </si>
  <si>
    <t>001410,08,2026 йил шартнома № 163 га асосан Муминова Севинч Учкун кизини укиш контракт тулови от Муминова Севинч</t>
  </si>
  <si>
    <t>Smart-VISTA Пл-к к-талардан конун кузда тутган бош 200542744</t>
  </si>
  <si>
    <t>9840385</t>
  </si>
  <si>
    <t>01067</t>
  </si>
  <si>
    <t>0065508.10.2025DAGI №208 SONLI SHARTNOMAGA ASOSAN KONTRAKT TOLOVI UCHUN OTKAZILDI RAXMATOVA MUXLISA СОГ ЗАЯВ КЛИЕНТА от ANOROV SULTON</t>
  </si>
  <si>
    <t>9837474</t>
  </si>
  <si>
    <t>0066724.07.2026 йилдаги №26/27 SH/A95-сонли шартномага асосан Жалилова Жасминанинг контракт тулови учун от Зохидова Садокат</t>
  </si>
  <si>
    <t>9870522</t>
  </si>
  <si>
    <t>001411,08,2026 йил шартнома № 172 га асосан Шукурова Зилола Фарход кизини укиш контракт тулови от Шукурова Зилола</t>
  </si>
  <si>
    <t>9877142</t>
  </si>
  <si>
    <t>001414.08.2026 йил шартнома № 182 га асосан Арзикулова Амина Салохиддин кизини укиш контракт тулови от Арзикулова Амина</t>
  </si>
  <si>
    <t>0006713184</t>
  </si>
  <si>
    <t>00099Рузиева Мохира Шухрат кизи томонидан шартномага асосан  кантрак тулови</t>
  </si>
  <si>
    <t>Kitob BXO byudjet va boshqa to`lovlar uchun        200242936</t>
  </si>
  <si>
    <t>0009944489</t>
  </si>
  <si>
    <t>00655XALILOVA ZUHRA FAXRIDDIN QIZI 04.09.2025 yildagi № 25/26 Sh/A 84 sonli shartnomaga asosan kontrakt to`lovi</t>
  </si>
  <si>
    <t>9907339</t>
  </si>
  <si>
    <t>0065523,07,2026 йилдаги №26/27 Sh/A 90 шартномага асосан PARDAQULOVA FARZONA (AE1396598)нинг контракт тулови от Ачилова Гулзода</t>
  </si>
  <si>
    <t>9911203</t>
  </si>
  <si>
    <t>0066707082026 йил Файзуллаева Сарвиноз Шербобо кизи укиш шартнома тулови утказилди (AD 1189588) от ШЕРАЛИЕВА ДИЛОРОМ</t>
  </si>
  <si>
    <t>9904204</t>
  </si>
  <si>
    <t>0065504.09.2025й Шартнома№25/26 sh/a 185 га асосан ALLAYAROVA DIYORA ABDUSALOM QIZIнинг (пинфл:42906952600021 AB7120372) 2-курс 40910203-Хамширалик иши учун контракт тулови утказилди от ALLAYAROVA DIYORA ABDUSALOM QIZI</t>
  </si>
  <si>
    <t>Ёшлар ишлари агентлиги Кашкадарё вилоят бошкармаси 207324757</t>
  </si>
  <si>
    <t>3232301027</t>
  </si>
  <si>
    <t>00602401021860104017049996225002~207324757~Ёшлар ишлари агентлиги Кашкадарё вилоят бошкармаси~№90 от 19.08.2026 сонли юридик мажбуриятга асосан 2026 йил 13 август 328-4-0-Q/26-сонли O?ZBEKISTON RESPUBLIKASI QASHQADARYO VILOYATI HOKIMINING QARORIга асосан "Ёшларга оид давлат сиёсатини куллаб-кувватлаш жамгармаси" маблаглари хисобидан Рахмонова Махфуза Анвар кизининг 15.08.2026 й   №25/26 Ш/А-сонли шарт асосан кантракт тулови утказилди.; Ст.  48.21190-3612500.00</t>
  </si>
  <si>
    <t>9932421</t>
  </si>
  <si>
    <t>0065523.07.2026 йилдаги №26/27 SH/A 89 сонли шартномага асосан контракт тулови учун утказилди от Шогдорова Маржона</t>
  </si>
  <si>
    <t>9939587</t>
  </si>
  <si>
    <t>0065508.08.2026й Шартнома№26/27 SH/A 158 га асосан RAJABOVA UMIDA RAJABALI QIZIнинг 1-курс 50910203-Хамширалик иши учун контракт тулови утказилди от RAJABOVA UMIDA</t>
  </si>
  <si>
    <t>9929503</t>
  </si>
  <si>
    <t>0066718.08.2026 йилдаги №26/27 SH/A 199-сонли шартномага асосан Маннонова Шахризода Носир кизининг контракт тулови учун от Рузиева Машхура</t>
  </si>
  <si>
    <t>9965529</t>
  </si>
  <si>
    <t>0066711.08.2026й №26/27 Sh/A174 сонли шартномага асосан ESHIMOVA ZILOLA нинг контракт тулови от ESHIMOVA ZILOLA</t>
  </si>
  <si>
    <t>9964143</t>
  </si>
  <si>
    <t>006674082026 йил №138 шартномага асосан XOLMURODOVA SABINA AZAM QIZI укиш тулови утказилди от ХОЛМУРОДОВА САБИНА</t>
  </si>
  <si>
    <t>9977609</t>
  </si>
  <si>
    <t>0066717.08.2026 йид №176 шартномага асосан Мухторова Хадича Зухриддин Кизи(АЕ2428256)нинг контракт тулови от МУХТОРОВА ХАДИЧА</t>
  </si>
  <si>
    <t>10025332</t>
  </si>
  <si>
    <t>0066724.08.2026й №26/27 Sh/A224 сонли шартномага асосан Аширова Гулсанамнинг контракт тулови утказилди от ESHBOYEVA DILOROM</t>
  </si>
  <si>
    <t>10012823</t>
  </si>
  <si>
    <t>0065510,08,2026й №26/27 Sh/A 167 шартномага асосан MURODOVA MUNISA MUXTOR QIZI(AE2895049)нинг контракт тулови от MURODOVA MUNISA</t>
  </si>
  <si>
    <t>373948509</t>
  </si>
  <si>
    <t>00995УСМОНОВА ДИЁРА ОЙБЕК КИЗИ КОНТРАКТ ТУЛОВИ RRN (623606695877)</t>
  </si>
  <si>
    <t>10012931</t>
  </si>
  <si>
    <t>0066717.08.2026 YILDAGI № 26/27 SH/A188 SONLI SHARNOMAGA ASOSAN 1-KURS (AE4384190) USMANOVA SABRINA BATIYOR QIZINING KANTRAK TULOVI от ATTAROVA NARGIZA GOLIBOVNA</t>
  </si>
  <si>
    <t>10009073</t>
  </si>
  <si>
    <t>0066710.08.20256YILDAGI № 26/27 SH/A162 SONLI SHARNOMAGA ASOSAN 1-KURS (AD7767171) SHUKRIYEVA NARIYE REDVANOVNANING KANTRAK TULOVI от SHUKRIYEVA NARIYE REDVANOVNA</t>
  </si>
  <si>
    <t>10043436</t>
  </si>
  <si>
    <t>001410,08 2026 йил шартнома № 167 га асосан Хазратова Фарзона Тошкан кизини укиш контракт тулови от Хазратова Фарзона</t>
  </si>
  <si>
    <t>RESPUBLIKA INKASSATSIYA XIZMATI MCHJ Shaxrisabz t. 201052396</t>
  </si>
  <si>
    <t>7</t>
  </si>
  <si>
    <t>00019</t>
  </si>
  <si>
    <t>00615~Шартнома №2026   26/27 Sh /A 202  Жабборова  Бахорой Шукрулло  кизининг  кантракт тулови AE 4255446 Топширувчи шахс: Жабборова  Бахорой</t>
  </si>
  <si>
    <t>10049160</t>
  </si>
  <si>
    <t>0065511,08,2026йилдаги №26/27 Sh/A173 шартномага асосан JAVLIYEVA NARGIZA ORTQ QIZI(AE5222372)нинг контракт тулови от AKBAROVA MUNISA</t>
  </si>
  <si>
    <t>10055684</t>
  </si>
  <si>
    <t>0066714.08.2026 26/27 183 SHARTNOMAGA ASOSAN XOLMIRZAYEVA ZEBUNISO XUSHVAQT QIZINING EQISH PULI UTKAZILDI «Ипак Йули»(10111) QARSHI TIBBIYOT TEXNIKUMI «Ипак Йули» QARSHI TIBBIYOT TEXNIKUMI NTM от XOLMIRZAYEVA ZEBUNISO XUSHVAQT QIZI</t>
  </si>
  <si>
    <t>1014</t>
  </si>
  <si>
    <t>10113490</t>
  </si>
  <si>
    <t>0066721.08.2026 YILDAGI №26/27 Sh/A 215 sonli shartnomaga asosan Jurayeva Madina Odil qizining kontrakt to'lovi o'tkazildi (AD9394305) Банка «Ипак Йули»(10111) QARSHI TIBBIYOT TEXNIKUMI NTM от NAZAROVA LOBAR</t>
  </si>
  <si>
    <t>10096179</t>
  </si>
  <si>
    <t>0065526.08.2026 йилдаги №26/27 SH/A-232 сонли шартномага асосан контракт тулови учун утказилди от Хужамуратова Дурдона Бахром кизи</t>
  </si>
  <si>
    <t>10103220</t>
  </si>
  <si>
    <t>0066727.08.2026 йилдаги №26/27 SH/A 234-сонли шартномага асосан Хуррамова Лобарнинг контракт тулови учун от Ходжаева Зулфия</t>
  </si>
  <si>
    <t>10138907</t>
  </si>
  <si>
    <t>0066724.07.2026 йилдаги №26/27 SH/A-96-сонли шартномага асосан Хуррамова Шахризоданинг контракт тулови учун от Хуррамова Шахризода</t>
  </si>
  <si>
    <t>BAHODIR AHMATOV                                    309016201</t>
  </si>
  <si>
    <t>13987091</t>
  </si>
  <si>
    <t>00667Uroqova Nilufar Nasrullo qizi tomonidan 196-Shartnomaga asosan kontrakt tulovi</t>
  </si>
  <si>
    <t>10141463</t>
  </si>
  <si>
    <t>0066726082026 йил №231 шартномага асосан Norboboyeva Farangiz Nuriddin qizi укиш шартномаси утказилди (ae 5898909) от РАЙИОМВА Ю</t>
  </si>
  <si>
    <t>10227104</t>
  </si>
  <si>
    <t>0014Махмуджонова Мохинур Санжар кизини укиш контракт тулови от Махмуджонова Мохинур</t>
  </si>
  <si>
    <t>10224419</t>
  </si>
  <si>
    <t>001424.08.2026 йил шартнома № 211 га асосан Жалолов Жавлонбек Жалоловични укиш контракт тулови от Жалолов Жавлонбек</t>
  </si>
  <si>
    <t>40165693</t>
  </si>
  <si>
    <t>00111NU'MONOVA SAIDABONU ULUGBEK QIZI 4.07.2026 YIL 26/27 SH/A 38-SONLI SHARTNOMAGA ASOSAN KONTRAKT TULOV</t>
  </si>
  <si>
    <t>10221310</t>
  </si>
  <si>
    <t>0066720.07.2026 йилдаги шартномага асосан контракт тулови учун утказилди от Арзикулова Лайло Баходир кизи</t>
  </si>
  <si>
    <t>10221727</t>
  </si>
  <si>
    <t>0065520.07.2026 йилдаги шартномага асосан контракт тулови учун утказилди от Арзикулова Лайло Баходир кизи</t>
  </si>
  <si>
    <t>10240996</t>
  </si>
  <si>
    <t>0065517,08,2026йилдаги №26/27 Sh/A 105 шартномага асосан Пардаева Фарангиз Норали кизи(AE 5643897)нинг контракт тулови от Омонова Муниса</t>
  </si>
  <si>
    <t>10236434</t>
  </si>
  <si>
    <t>0066704.09.2025 YILDAGI 25/26 SH/A 286 GA ASOSAN BUXAROVA FARANGIZ TUFLI QIZINI UQISHI UCHUN TULOV«Ипак Йули»(10111) QARSHI TIBBIYOT TEXNIKUMI NTM от NORQOBILOV TUFLI</t>
  </si>
  <si>
    <t>10263539</t>
  </si>
  <si>
    <t>00655ISKANDAROVA LOBAR TURA QIZI SHARTNOMA №25/26 SH/А 17 04,09,2025 га асосан укиш учун тулов от EGAMBERDIYEVA GULSHOD</t>
  </si>
  <si>
    <t>10243131</t>
  </si>
  <si>
    <t>0066721.07.2026 YILDAGI № 26/27 SH/A81 SONLI SHARNOMAGA ASOSAN 1-KURS (AE1836076) SAMADOVA NIGORA ABDISAMIYEVNANING KANTRAK TULOVI от SAMADOVA NIGORA ABDISAMIYEVNA</t>
  </si>
  <si>
    <t>10249865</t>
  </si>
  <si>
    <t>0066703.09.2026йил №262 шартномага асосан Жалолова Райхона (АЕ3492384)нинг контракт тулови от RUZIYEVA GULZODA</t>
  </si>
  <si>
    <t>10241628</t>
  </si>
  <si>
    <t>0065503.09.2026й Шартнома№26/27 sh/a 258 га асосан талаба AXMEDOVA SAODAT нинг контракт тулови утказилди от AXMEDOVA SAODAT</t>
  </si>
  <si>
    <t>10289121</t>
  </si>
  <si>
    <t>0065523.07.2026й Шартнома№26/27 sh/a 90 га асосан талаба PARDAQULOVA FARZONA нинг 40910203-Хамширалик иши учун контракт тулови утказилди от TURGUNOVA JASMINA</t>
  </si>
  <si>
    <t>10289458</t>
  </si>
  <si>
    <t>0066702.09.2026 YILDAGI № 255 SONLI SHARTNOMAGA ASOSAN XOLBOYEV OG'ABEK YUNUS O'G'LINING KONTRAKT TO'LOVI O'TKAZILDI (AC2000370)Банка «Ипак Йули»(10111) QARSHI TIBBIYOT TEXNIKUMI NTM от XOLBOYEV OGABEK</t>
  </si>
  <si>
    <t>10292341</t>
  </si>
  <si>
    <t>0066704.09.2025 йилдаги №25/26 Sh/A 278 шарт-га ас-н Эргашова Шодиёна Юлдашовнанинг контракт тулови учун от Эргашова Шодиёна Юлдашовна</t>
  </si>
  <si>
    <t>10290166</t>
  </si>
  <si>
    <t>0066731.07.2025 YILDAGI № 26/27 SH/A118 SONLI SHARNOMAGA ASOSAN 1-KURS (AE1419035) YO`LDOSHEVA RUHSHONA XABIBULLO QIZINING KANTRAK TULOVI от YO`LDOSHEVA RUHSHONA XABIBULLO QIZI</t>
  </si>
  <si>
    <t>10355609</t>
  </si>
  <si>
    <t>00655MAXMASHOXOVA FERUZA BEKMUROD QIZI SHARYTNOMA №26/27 SH/А 101 27,07,2026 yilga asosan o'qish uchun to'lov. от MAXMASHOXOVA FERUZA</t>
  </si>
  <si>
    <t>10337217</t>
  </si>
  <si>
    <t>0065522.08.2026 №26/27 SH/A 212 shartnomaga asosan Narziyeva Intizor Iskandar qizi(AB5359926) ning kontrakt tulovi uchun от ALLAYOROVA DILFUZA</t>
  </si>
  <si>
    <t>10336361</t>
  </si>
  <si>
    <t>0065507.09.2026й ШАртнома№26/27 sh/a277 га асосан талаба NAZIROVA SARVARA XAYITMUROD QIZIнинг (пинфл 62907075630023 AD 9509287) контракт тулови утказилди от XOLYAROV HAYITMUTAT</t>
  </si>
  <si>
    <t>10371920</t>
  </si>
  <si>
    <t>001404.08.2026 йил шартнома № 139 га асосан Лухмонова Нозима Илхом кизини укиш контракт тулови от Лухмонова Нозима</t>
  </si>
  <si>
    <t>10385035</t>
  </si>
  <si>
    <t>0014шартномага асосан Чориева Захро Хайрулло кизини укиш контракт тулови от Чориева Захро</t>
  </si>
  <si>
    <t>10384672</t>
  </si>
  <si>
    <t>001428,08,2026 йил шартнома № 242 га асосан Куйсинова Рухшона Тулкин кизини укиш контракт тулови от Куйсинова Рухшона</t>
  </si>
  <si>
    <t>10372375</t>
  </si>
  <si>
    <t>001418.03.2026 йил №25/26 Sh/A365 шартномага асосан контракт тулов от Sunnatullayeva Ezoza</t>
  </si>
  <si>
    <t>Чакана амалиётлар кассаси  ЭЦ Янги Кеш             200542744</t>
  </si>
  <si>
    <t>10382992</t>
  </si>
  <si>
    <t>003127.08.2026 йил №26/27 Sh/A 236 шартномага асосан Гайбуллаева Рухсора Хусниддин кизининг укиши учун тулов от GAYBULLAYEVA RUXSORA</t>
  </si>
  <si>
    <t>10365736</t>
  </si>
  <si>
    <t>0066704.09.2025 йил шартномага асосан Абдижалилова Маржона Бахтиёр кизини укиш контракт тулови от Абдижалилова Маржона</t>
  </si>
  <si>
    <t>10365640</t>
  </si>
  <si>
    <t>0066704.09.2025 йил шартнома № SH/A 243 га асосан Овлакулова Феруза Фозилжоновнани укиш контракт тулови от Овлакулова Феруз</t>
  </si>
  <si>
    <t>10398832</t>
  </si>
  <si>
    <t>001404.09.2025 йил "25/26 Sh/A246 шартномага Олимова Дурдонанинг контракт тулови от Turayev Uktam</t>
  </si>
  <si>
    <t>10410086</t>
  </si>
  <si>
    <t>001410.08.2026 йил шартнома № 166 га асосан Хасанова Дилнура Эсон кизини укиш контракт тулови от Хасанова Дилнура</t>
  </si>
  <si>
    <t>10410728</t>
  </si>
  <si>
    <t>001409.09.2026 йил шартнома № 232 га асосан Эшбобоева Муниса Аминжон кизини укиш контракт тулови от Эшбобоева Муниса</t>
  </si>
  <si>
    <t>10416297</t>
  </si>
  <si>
    <t>001418.08.2026 йил шартнома № 196 га асосан Хусанова Азиза Фазлиддин кизини укиш контракт тулови от Хусанова Азиза</t>
  </si>
  <si>
    <t>10422109</t>
  </si>
  <si>
    <t>0066728.08.2026 YILDAGI № 26/27 SH/A239 SONLI SHARNOMAGA ASOSAN 1-KURS (AE6702868) BERDIQULOVA GULSHAN RUSTAM QIZINING KANTRAK TULOVI от BERDIQULOVA GULSHAN RUSTAM QIZI</t>
  </si>
  <si>
    <t>10414605</t>
  </si>
  <si>
    <t>0066728.07.2026 ЙИЛДАГИ №26/27SH/A110 СОНЛИ ШАРТНОМАГА АСОСАН ESHMURODOVA CHAROS НИ УКИШИ УЧУН УТКАЗИЛДИ от ESHMURODOVA CHAROS</t>
  </si>
  <si>
    <t>0070431892</t>
  </si>
  <si>
    <t>00111Meyliqulova Hilola Farhod qizining 15.07.2026y №26/27 Sh/A60 sonli shart as kontrakt to`lovi</t>
  </si>
  <si>
    <t>10404344</t>
  </si>
  <si>
    <t>00655Эшназарова Дилнозанинг шартнома учун тулов. от Эшназарова дилноза</t>
  </si>
  <si>
    <t>10404673</t>
  </si>
  <si>
    <t>0065509.08.2026й Шартнома№26/27 sh/a 290 га асосан талаба ZIYODULLOYEVA MUXLISA SHUKHRAT QIZIнинг 50910203-хамширалик иши учун контракт тулови утказилди от ZIYODULLOYEVA MUXLISA</t>
  </si>
  <si>
    <t>10404556</t>
  </si>
  <si>
    <t>0065507.09.2026 йилдаги №26/27 SH/A 274 сонли шартномага асосан контракт тулови учун утказилди от Абдихалилова Шахзода Баходир кизи</t>
  </si>
  <si>
    <t>10411833</t>
  </si>
  <si>
    <t>0066704.09.2025 YILDAGI № - 25/26 SH/A149 SONLI SHARNOMAGA ASOSAN 2-KURS (AD5982247) DJALOLOVA MUSLIMA HAMZAXON QIZINING KANTRAK TULOVI от DJALOLOVA MUSLIMA HAMZAXON QIZI</t>
  </si>
  <si>
    <t>10440710</t>
  </si>
  <si>
    <t>0065509.09.2026й Шартнома№26/27 sh/a 100 га асосан талаба AHMADOVA ZARNIGOR HABIBULLO QIZIнинг 2-курс 40910203-хамширалик иши учун контаркт тулови утказилди от XAYRULLAEVA MARGUBA</t>
  </si>
  <si>
    <t>10430320</t>
  </si>
  <si>
    <t>006552026-йил 17-августдаги Шартнома №26/27 Sh/Aга асосан 1-курс талабаси Hasanova Marjona Xolmurod qizi(AE5685784)нинг укиш тулови учун утказилди от Abdiyev Xolmurod</t>
  </si>
  <si>
    <t>BAHRIDDIN SAFAROV                                  309016201</t>
  </si>
  <si>
    <t>14068231</t>
  </si>
  <si>
    <t>00667Хайруллаева Асолат Бахриддин кизининг укиши учун шартнома тулови.</t>
  </si>
  <si>
    <t>10432249</t>
  </si>
  <si>
    <t>10432345</t>
  </si>
  <si>
    <t>0065509.12.2025 йил №25/26 SH/A 338 сонли шартномага асосан контракт тулови учун утказилди от Куйсинова Сунбула</t>
  </si>
  <si>
    <t>10439853</t>
  </si>
  <si>
    <t>0065520.08.2026 й.даги SHARTNOMA №26/27 Sh/A 203 га асосан 1-курс талабаси ABDURAHMONOVA PARVINA ALISHER QIZI(AE2261219)нинг укиш тулови учун от SHARIPOVA DILDORA</t>
  </si>
  <si>
    <t>10431243</t>
  </si>
  <si>
    <t>00667Шартнома № 259 га асосан Боймуродова Муштарий Бойсун кизини укиш контракт тулови от Бегиова Нуринисо</t>
  </si>
  <si>
    <t>10441440</t>
  </si>
  <si>
    <t>0065525,08,2026йилдаги №26/27 Sh/A 229 шартномага асосан AZAMATOVA CHAROS ABDUAZIZ QIZI(AE1520971)нинг контракт тулови от Бобоёрова Марзия</t>
  </si>
  <si>
    <t>10430030</t>
  </si>
  <si>
    <t>0065501.12.2025 №25/26 SH/A 511 ga asosan RASHIDOVA SHAXZODA SUYUN QIZI(AD6348784) ning kontrakt tulovi uchun от RASHIDOVA SHAXZODA</t>
  </si>
  <si>
    <t>10450183</t>
  </si>
  <si>
    <t>00655МЕЙЛИЕВА УМИДА ШАРТНОМА №26/27 SH/А 07.09.2026 йилга асосан укиш учун тулов. от MEYLIYEVA UMIDA</t>
  </si>
  <si>
    <t>10432735</t>
  </si>
  <si>
    <t>0065525.08.2026 № 26/27 SH/A ga asosan OMONOVA CHAROS ORIF QIZI(JSHSHIR:40306985590014) ning kontrakt tulovi uchun от INATOV NODIR</t>
  </si>
  <si>
    <t>10480817</t>
  </si>
  <si>
    <t>0066707.09.2026й.даги Шартнома №26/27 Sh/A 277га асосан 1-курс талабаси Махмудова Гулсанам Негмат кизи(AE1695093)нинг контракт тулови учун от Холкараева Шарофат</t>
  </si>
  <si>
    <t>10484451</t>
  </si>
  <si>
    <t>0066710.08.2026й.даги Шартнома№26/27 Sh/A 161 га асосан 1-курс талабаси Тухтаева Дурдона Назим кизи(AC5199773)нинг укиш тулови учун от Гофурова Шахзода</t>
  </si>
  <si>
    <t>10466926</t>
  </si>
  <si>
    <t>0065509.09.2026 №26/27 SH/A106 ga asosan ISMOILOVA XUMOROY QUDRATILLA QIZI(AD7239997) ning kontrakt tulovi uchun от RAXIMOVA GULMIRA</t>
  </si>
  <si>
    <t>3232301307</t>
  </si>
  <si>
    <t>00602401021860104017049996225002~207324757~Ёшлар ишлари агентлиги Кашкадарё вилоят бошкармаси~№148 от 11.09.2026 сонли юридик мажбуриятга асосан 2026 йил 13 август 328-4-0-Q/26-сонли O?ZBEKISTON RESPUBLIKASI QASHQADARYO VILOYATI HOKIMINING QARORIга асосан "Ёшларга оид давлат сиёсатини кулллаб-кувватлаш жамгармаси" маблаглари хисобидан Алиева Маржона Анвар кизининг  21.08.2026 й №206-сонли контракт тулови утказилди.; Ст.  48.21190-4000000.00</t>
  </si>
  <si>
    <t>0070478173</t>
  </si>
  <si>
    <t>00995Hamroqulova F 1-kurs Hamroqulova Farzonaning kontrakt to`lovi RRN (625409146200)</t>
  </si>
  <si>
    <t>10469132</t>
  </si>
  <si>
    <t>0065509.09.2026 №26/27 SH/A 74 ga asosan ALIYEVA SHAXRO'ZA NISHON QIZI(AD5070455) ning kontrakt tulovi uchun от QOSIMOVA SABOAT</t>
  </si>
  <si>
    <t>10526232</t>
  </si>
  <si>
    <t>001401.12.2025 йил шартнома № 508 га асосан Назарова Махлиё Хакберди кизини укиш контракт тулови от Назарова Махлиё</t>
  </si>
  <si>
    <t>10527258</t>
  </si>
  <si>
    <t>0014шартнома № 164 га асосан Носирова Лола Бекзод кизини укиш контракт тулови от Носирова Лола</t>
  </si>
  <si>
    <t>10521755</t>
  </si>
  <si>
    <t>001408,09,2026 йил шартнома № 292 га асосан Ибодуллаева Асилзода Латиф кизини укиш контракт тулови от Сайипов Латиф</t>
  </si>
  <si>
    <t>10532268</t>
  </si>
  <si>
    <t>001423.06.2026 йил №26/27 Sh/A шартномага асосан 1-курс талабаси Мажидова Намуна Шункор кизининг укиши учун тулов от МАЖИДОВА НАМУНА</t>
  </si>
  <si>
    <t>10530148</t>
  </si>
  <si>
    <t>0066710.09.2026 йилдаги №26/27 SH/A 28-сонли шартномага асосан Баратова Махзуна Хикматилло кизининг контракт тулови учун от Бекмуродов Худойберди</t>
  </si>
  <si>
    <t>10525112</t>
  </si>
  <si>
    <t>0065510.06.2026й. Шартнома №26/27 Sh/A 390 га асосан 1-курс талабаси Махмудмуродова Севара (AE2103843)нинг укиш тулови учун от САНАЕВА ХУРСАН</t>
  </si>
  <si>
    <t>10531268</t>
  </si>
  <si>
    <t>0065509.09.2026й Шартнома№26/27/ sh/a 90 га асосан талаба POYONOVA GULSEVAR BAXTIYOQ QIZIнинг (пинфл:62406055720094 AD0910280)контракт тулови утказилди от POYONOVA GULSEVAR BAXTIYOQ QIZI</t>
  </si>
  <si>
    <t>0070500197</t>
  </si>
  <si>
    <t>001111-kurs Zayidova Shaboda Sodiqovnaning AE5856503 04.06.2026y №26/27 Sh/A387 shart as kontrakt to`lovi</t>
  </si>
  <si>
    <t>10541357</t>
  </si>
  <si>
    <t>00667YUSUPOVA SHAXNOZA(AC2276486)нинг контракт тулови от RAXIMOV AKRAM</t>
  </si>
  <si>
    <t>10537165</t>
  </si>
  <si>
    <t>0066709.09.2026 йил шартнома № 75 га асосан Бегалиева Шодиёна Бегали кизини укиш контракт тулови от Нормуминов Бегали</t>
  </si>
  <si>
    <t>0006823323</t>
  </si>
  <si>
    <t>00099Муродуллаев Азизбек Одилжон угли томонидан Шартномага асосан контракт тулови.</t>
  </si>
  <si>
    <t>SQB Mobile ilovasi orqali xisob raqamlarga o'kazma 200833707</t>
  </si>
  <si>
    <t>787439</t>
  </si>
  <si>
    <t>00667   Saidova Dilsozni kontrakt tulovi uchun</t>
  </si>
  <si>
    <t>10532143</t>
  </si>
  <si>
    <t>0066707.09.2025 YILDAGI № 26/27 SH/A40 SONLI SHARNOMAGA ASOSAN 2-KURS (AD8728367) SHAMSIDDINOVA FOTIMA RAMZIDDIN QIZINING KANTRAK TULOVI от XAYDAROV BAXTIYOR KOMOLOVICH</t>
  </si>
  <si>
    <t>10532663</t>
  </si>
  <si>
    <t>00667Исирова Матлубани аризасига асосан 09.09.2026 йил шартнома № 109 га асосан Мавлонова Чарос Ойбек кизини укиш контракт тулови от Исирова Матлуба</t>
  </si>
  <si>
    <t>10540771</t>
  </si>
  <si>
    <t>00655Шартномага асосан контракт тулови учун утказилди от Хайдарова Гулсевар Аскар кизи</t>
  </si>
  <si>
    <t>10542655</t>
  </si>
  <si>
    <t>00655Болтаева Шахло Фахриддин кизи шартнома №25/26 sh/А186 04,09,2025 йилга асосан укиш учун тулов. от Бобоева Шахло</t>
  </si>
  <si>
    <t>10473401</t>
  </si>
  <si>
    <t>001407,09,2026 йил шартнома № 187 га асосан Эргашева Маржона Лутфулло кизини укиш контракт тулови от Эргашева Маржона</t>
  </si>
  <si>
    <t>0006825700</t>
  </si>
  <si>
    <t>00099Негматова Севинч Хикматулло кизи томонидан шартномага асосан кантрак тулови  AE 7082532</t>
  </si>
  <si>
    <t>10552271</t>
  </si>
  <si>
    <t>0065514.09.2026й Шартнома№26/27 sh/a 303 га асосан талаба ABDUJALOLOVA DILNURA нинг (AE3226699) контракт тулови утказилди от ERGASHOV YUSUFJON</t>
  </si>
  <si>
    <t>10558966</t>
  </si>
  <si>
    <t>0065507.09.2026 №26/27 SH/A 161 shartnomaga asosan ESONMURODOVA NURGUL NURIDDIN QIZI ning kontrakt tulovi uchun от ESONMURODOVA NURGUL</t>
  </si>
  <si>
    <t>0006827207</t>
  </si>
  <si>
    <t>00099Ниматова Феруза Аслиддин кизи томонидан шартномага асосан антрак тулови AD 9082763</t>
  </si>
  <si>
    <t>10570149</t>
  </si>
  <si>
    <t>0066709.09.2026й Шартнома№ 26/27 sh/a 294 га асосан талаба ILHOMOVA ZUHRA DAVRON QIZIнинг 509101203-хамширали киши учун контракт тулови утказилди от ILHOMOVA ZUHRA</t>
  </si>
  <si>
    <t>10561566</t>
  </si>
  <si>
    <t>0065510.09.2026 №26/27 SH/A 26 ga asosan ABDULLAYEVA DILDORA A'ZAM QIZI(JSHSHIR: 61908085590052) ning kontrakt tulovi uchun от ABDULLAYEVA DILDORA A'ZAM QIZI</t>
  </si>
  <si>
    <t>10567819</t>
  </si>
  <si>
    <t>0065509.09.2026й Шартнома№26/27 sh/a 78 га асосан талаба ERKINOVA ZAHRO нинг (AD8206268) 40910203-хамширалик иши учун контракт тулови от SAIDJONOV AZIZIBEK</t>
  </si>
  <si>
    <t>0000000028</t>
  </si>
  <si>
    <t>00111Norboboyeva Go`zal  Azamat qizining shartnomaga asosan o`qishi uchun tulovi NORBOBOYEVA GUZAL AZAMAT QIZI</t>
  </si>
  <si>
    <t>10561644</t>
  </si>
  <si>
    <t>00655№26/27 SH/A178 сонли шартнома асосан контракт тулови учун утказилди от Тураева Малика Абдулла кизи</t>
  </si>
  <si>
    <t>10564161</t>
  </si>
  <si>
    <t>0065502.09.2026й Шартнома№26/27 sh/a 155 га асосан YORBOBOYEVA SHAXZODA ZOKIRJON QIZIнинг (пинфл:63005085590050 AD9750298) контракт тулови утказилди от YORBOBOYEVA SHAXZODA ZOKIRJON QIZI</t>
  </si>
  <si>
    <t>4</t>
  </si>
  <si>
    <t>00615~РАСУЛОВА ХУСНОБОД БЕКМУРОД КИЗИ  (AD 1615363)  Шарт № 26/27 Sh/A 392 асосида укиш учун тулови  Хамширалик иши йуналиши  1 курс  талабаси Топширувчи шахс: РАСУЛОВА ХУСНОБОД</t>
  </si>
  <si>
    <t>10560539</t>
  </si>
  <si>
    <t>00655ZARIPOVA SETORA SHARTNOMA №26/27 SH/A225 24.08.2026 O'qish uchun to'lov. от ZARIPOVA SETORA</t>
  </si>
  <si>
    <t>10561450</t>
  </si>
  <si>
    <t>0065509.09.2026 йилдаги №26/24 SH/A-84-сонли шартномага асосан Махмадиёрова Рухшона Фахриддин кизининг контракт тулови от Ибрагимова Дилором</t>
  </si>
  <si>
    <t>0070522420</t>
  </si>
  <si>
    <t>00111SAMIYEVA SEVINCHBONU UYGUN QIZI 1 KURS KONTRAKT TULOVI UCHUN</t>
  </si>
  <si>
    <t>10562437</t>
  </si>
  <si>
    <t>001401.12.2025 йил №25/26 Sh/А506 шартномага асосан 2-курс талабаси Мирзаева Севара Нематовнанинг укиши учун тулов от MIRZAYEVA SEVARA</t>
  </si>
  <si>
    <t>10565163</t>
  </si>
  <si>
    <t>001409,09,2026 йил шартнома № 108 га асосан Мейлибоева Хадича Дилмуродовнани укиш контракт тулови от Мейлибоева Хадича</t>
  </si>
  <si>
    <t>10563985</t>
  </si>
  <si>
    <t>001415,01,2026 йил шарртнома № 351 га асосан Саломова Озода Рахим кизини укиш контракт тулови от Саломова Озода</t>
  </si>
  <si>
    <t>10561060</t>
  </si>
  <si>
    <t>001425.06.2026 йил №26/27 Sh/A 18 шартномага асосан 1-курс таласи Жумаева Хуснида Шавкат кизининг укиши учун тулов от JUMAYEVA HUSNIDA</t>
  </si>
  <si>
    <t>10567463</t>
  </si>
  <si>
    <t>001407.09.2026 йил шартнома № 279 га асосан Усмонова Ирода Абдураззок кизини укиш контракт тулови от Усмонова Ирода</t>
  </si>
  <si>
    <t>10575434</t>
  </si>
  <si>
    <t>001407,09,2026 йил шартнома № 160 га асосан Эшпулатова Динора Собир кизини укиш контракт тулови от Эшпулатова Динора</t>
  </si>
  <si>
    <t>10557860</t>
  </si>
  <si>
    <t>001415.09.2026 № 26/27 SH/A shartnomaga JURAYEVA FARANGIZ ZIYADULLO QIZI(JSHSHIR: 62205045590020) ning kontrakt tuovi uchun от JURAYEVA FARANGIZ</t>
  </si>
  <si>
    <t>10560933</t>
  </si>
  <si>
    <t>001409.09.2026 йил №26/27 Sh/A114 шартномага асосан Одилова Маржонанинг укиш тулови от ODILOV ZUHRIDDIN</t>
  </si>
  <si>
    <t>10556069</t>
  </si>
  <si>
    <t>001410,09,2026 йил шартнома № 299 га асосан Темирова Рушана Сарваровнани укиш контракт тулови от Темирова Рушана</t>
  </si>
  <si>
    <t>10594285</t>
  </si>
  <si>
    <t>001409.09.2026 йил №26/27 SH/A123 шартномага асосан контракт тулов от Xoliqulova Nozima</t>
  </si>
  <si>
    <t>10590356</t>
  </si>
  <si>
    <t>0065507.09.2026 №26/27 SH/A 259ga asosan RAXMATOVA SHAXLO XOLBOBO QIZI(AB6898531) ning kontrakt tulovi uchun от RAXMATOVA SHAXLO</t>
  </si>
  <si>
    <t>10591693</t>
  </si>
  <si>
    <t>0011109.09.2026 йил №26/27 Sh/A 103 Сонли Шартномага асосан Эгамбердиева Шахло Дагар кизи нинг контракт тулови от Эгамбердиева Шахло Дагар кизи</t>
  </si>
  <si>
    <t>10594522</t>
  </si>
  <si>
    <t>0065508.09.2026й Шартнома№26/27 sh/a 288 га асосан талаба SOYIBOVA DINORA SANJAR QIZIнинг 50910203-хамширалик иши учун контракт тулови утказилди от ISLOMOV SOIB</t>
  </si>
  <si>
    <t>10606387</t>
  </si>
  <si>
    <t>00655Tursunova Aziza shartnoma №26/27 sh/А276 07,09,2026 yilga asosan o'qish uchun to'lov от Tursunova Aziza</t>
  </si>
  <si>
    <t>40571526</t>
  </si>
  <si>
    <t>00111ABDURAXMONOVA ZAXROBONU 20.08.2026 Y №26/27  SH/A204    SHART-GA AS-N KONTRAK T TULOVI</t>
  </si>
  <si>
    <t>10603539</t>
  </si>
  <si>
    <t>0065510.09.2026 № 26/27 SH/A ga asosan JALILOVA SABINA JAHONGIR QIZI(AD8440819) ning kontrakt tulovi uchun от JALILOVA SABINA</t>
  </si>
  <si>
    <t>10591901</t>
  </si>
  <si>
    <t>0011104.09.2026 йил №25/26 Sh/A 142 Сонли Шартномага асосан Исамова Мохимбегим Мансур кизининг контракт тулови от Бердиева Махфуза Эргашевна</t>
  </si>
  <si>
    <t>10606535</t>
  </si>
  <si>
    <t>0065515.09.2026й Шатронма№26/27 sh/a 277 га асосан талаба ISKANDAROVA LOBAR TURA QIZIнинг контракт тулови утказилди от ISKANDAROVA LOBAR</t>
  </si>
  <si>
    <t>10638416</t>
  </si>
  <si>
    <t>0066724.08.2026 YILDAGI № 26/27 SH/A122 SONLI SHARNOMAGA ASOSAN 1-KURS (AE6171425) TURGUNOVA JASMINA TURGUN QIZINING KANTRAK TULOVI от TURGUNOVA JASMINA TURGUN QIZI</t>
  </si>
  <si>
    <t>10630176</t>
  </si>
  <si>
    <t>0011104.09.2026 йил №25/26 Sh/A 159 Сонли Шартномага асосан Муродова Ойгул Гуламовнанинг контракт тулови учун от Муродова Ойгул Гуламовна</t>
  </si>
  <si>
    <t>10618738</t>
  </si>
  <si>
    <t>0066709.09.2026 йил шартнома № 119 га асосан Сайфуллаева Рухшона Шавкат кизини укиш контракт тулови от Ташев Шавкат</t>
  </si>
  <si>
    <t>10618698</t>
  </si>
  <si>
    <t>0066709.09.2026 йил шартнома № 119 га асосан Сайфуллаева Рухшона Шавкат кизини укиш контракт тулови от Самиева Наргиза</t>
  </si>
  <si>
    <t>10632274</t>
  </si>
  <si>
    <t>0065509.09.2026 №26/27 SH/A 295 ga asosan QODIROVA SABINA SUXROB QIZI(AC2359638) ning kontrakt tulovi uchun от QODIROVA SABINA</t>
  </si>
  <si>
    <t>10619111</t>
  </si>
  <si>
    <t>00655Уролова Зилола шартнома №26/27 sh\А179 асосан укиш учун тулов от Уролова Зилола</t>
  </si>
  <si>
    <t>10632880</t>
  </si>
  <si>
    <t>0065531.08.2026й Шартнома№26/27 sh/a 250 га асосан талаба KARIMOVA NOZLIYA нинг 1-курс 50910203-Хамширалик иши учун контракт тулови утказилди от KARIMOVA NOZLIYA</t>
  </si>
  <si>
    <t>10618993</t>
  </si>
  <si>
    <t>0065510.09.2026 №26/27 SH/A ga asosan NORQOBILOVA ZARNIGOR IKROM QIZI(AD7399792) ning kontrakt tulovi uchun от NORQOBILOVA ZARNIGOR</t>
  </si>
  <si>
    <t>10632723</t>
  </si>
  <si>
    <t>0065502.09.2026 № 26/27 SH/A 254 ga asosan SANAQULOVA MUXTARAMA XUQOYQULOVNA(AD8686485) ning kontrakt tulovi uchun от SANAQULOVA MUXTARAMA</t>
  </si>
  <si>
    <t>10629343</t>
  </si>
  <si>
    <t>0066717,03,2026 йил шартнома № 363 га асосан Жумаева Навруза Имомназар кизини укиш контракт тулови от Жумаева Навруза</t>
  </si>
  <si>
    <t>10625260</t>
  </si>
  <si>
    <t>0066702.09.2026й Шартнома№26/27 sh/a 147 га асосан талаба SHODIYEVA NILUFAR OMON QIZIнинг 2-курс 40910203-Хамширалик иши учун контракт тулови утказилди от SHODIYEVA NILUFAR</t>
  </si>
  <si>
    <t>10656588</t>
  </si>
  <si>
    <t>001416,09,2026 йил шартнома № 310 га асосан Давлатова Гулноза Хусан кизини укиш контракт тулови от Давлатова Гулноза Хусан кизи</t>
  </si>
  <si>
    <t>10663437</t>
  </si>
  <si>
    <t>001415,09,2026 йил шартнома № 307 га асосан Холмуродова Дилнура Дилмурод кизини укиш контракт тулови от Холмуродова Дилнура</t>
  </si>
  <si>
    <t>10656432</t>
  </si>
  <si>
    <t>001414,09,2026 йил шартнома № 304 га асосан Ниёзова Севара Туракуловнани укиш контракт тулови от Ниёзова Севара</t>
  </si>
  <si>
    <t>10663473</t>
  </si>
  <si>
    <t>0014шартномага асосан Суярова Динора Содик кизини укиш контракт тулови от Суярова Динора</t>
  </si>
  <si>
    <t>10657082</t>
  </si>
  <si>
    <t>001409,09,2026 йил шартнома № 47 га асосан Ортикова Дилноза Зокир кизини укиш контракт тулови от Ортикова Дилноза</t>
  </si>
  <si>
    <t>Х.БУХОРИЙ МАДРАСА HOJA BUHORIY URTA MAHSUS ISLOM BI201840784</t>
  </si>
  <si>
    <t>0000000258</t>
  </si>
  <si>
    <t>00111П/О, XAYRULLAYEVA SEVINCH TOHIROVNANING O`QUV SHARTNOMA TO`LOVI SAMIYEV RAXMON NIZOMOVICHNING ISH HAQI HISOBIDAN O`TKAZILMOQDA.. (№258, ОБЩ. СУММА 4500000 UZS, ОТ 18.09.2026Г.)</t>
  </si>
  <si>
    <t>10656702</t>
  </si>
  <si>
    <t>0066716,09,2026 йил шартнома № 310 га асосан Давлатова Гулноза Хусан кизини укиш контракт тулови от Давлатова Гулноза Хусан кизи</t>
  </si>
  <si>
    <t>10666862</t>
  </si>
  <si>
    <t>0066707.09.2026 YILDAGI 26/27 SHARTNOMAGA ASOSAN ERGASHEVA DILOBAR OTKIR QIZINI UQISHI UCHUN TULOV «Ипак Йули» QARSHI TIBBIYOT TEXNIKUMI NTM от QARSHI TIBBIYOT TEXNIKUMI NTM</t>
  </si>
  <si>
    <t>Karimova Shahina Fayzullo qizi                     200829053</t>
  </si>
  <si>
    <t>0000000019</t>
  </si>
  <si>
    <t>00111KARIMOVA SHAHINA FAYZULLO QIZINING KONTRAKT TO`LOVI (AC0413538) Karimova Shahina Fayzullo qizi</t>
  </si>
  <si>
    <t>10655106</t>
  </si>
  <si>
    <t>00655№26/27 SH/A сонли шартномага асосан контракт тулови учун утказилди от Эшонкулова Зарина Гулом кизи</t>
  </si>
  <si>
    <t>0006849519</t>
  </si>
  <si>
    <t>00099Убайдуллаева Мухлиса Зубайдулло кизи томонидан Шартномага асосан контракт тулови</t>
  </si>
  <si>
    <t>0006849430</t>
  </si>
  <si>
    <t>00099Авлокулова Дилобар томонидан Шартномага асосан контракт тулови.</t>
  </si>
  <si>
    <t>Транзит. счет (расчет. с  ФИЗИЧЕСКИМИ ЛИЦАМИ-разов 200542744</t>
  </si>
  <si>
    <t>10655525</t>
  </si>
  <si>
    <t>00655ESHMURODOVA GULSANAM KONTRAKT UCHUN TOLOV 15.09.2026 DAGI №26/27 SH/A SONLI SHARTNOMAGA ASOSAN от XASANOV NAVROZBEK</t>
  </si>
  <si>
    <t>10660636</t>
  </si>
  <si>
    <t>0065507.09.2026 №26/27 SH/A 226 shartnomaga asosan MURATOVA BARNO JOBUR QIZI(JSHSHIR:60702065720041) ning kontrakt tulovi uchun от MURATOVA LOBAR</t>
  </si>
  <si>
    <t>375078688</t>
  </si>
  <si>
    <t>00995RO'ZIMURODOVA LARISA MAXMADALI QIZI SHARTNOMAGA ASOSAN KANTRAKT TULOVI UCHUN</t>
  </si>
  <si>
    <t>10651205</t>
  </si>
  <si>
    <t>0065508,09,2026 й №26/27 Sh/A 291 шартномага асосан RAYIMOVA NOZLIYA LAZIZ QIZI(AE4759683)нинг контракт тулови от Сувонова Дилноза</t>
  </si>
  <si>
    <t>10657291</t>
  </si>
  <si>
    <t>00111Шартномага асосан Салимова Зарина Собиржон кизи нинг контракт тулови учун утказилди ПНФЛ 42110975590034 от Салимова Зарина Собиржон кизи</t>
  </si>
  <si>
    <t>0006850057</t>
  </si>
  <si>
    <t>00099Турсунов Сохибжон Хаким угли томонидан шартномага асосан кнатрк тулови</t>
  </si>
  <si>
    <t>0006850126</t>
  </si>
  <si>
    <t>00099Турсунова Зухра Косим кизи томонидан шартномага асосан кантрак тулови</t>
  </si>
  <si>
    <t>0006850195</t>
  </si>
  <si>
    <t>00099Турсунова Фотима Косим кизи томонидан шартномага асосан кантрак т улови</t>
  </si>
  <si>
    <t>10659617</t>
  </si>
  <si>
    <t>0065510.09.2026й Шартнома№26/27 sh/a га асосан талаба SUYUNOVA SEVINCH OBIDJON QIZIнинг 50910203-Хамширалик иши учун контракт тулови утказилди от SUYUNOVA SEVINCH</t>
  </si>
  <si>
    <t>10656945</t>
  </si>
  <si>
    <t>0066709,09,2026 йил шартнома № 122 га асосан Турдикулова Севинч Садриддин кизини укиш контракт тулови от Турдиев Бехрузжон</t>
  </si>
  <si>
    <t>0006853553</t>
  </si>
  <si>
    <t>00099Зиедуллаева Муниса Шерзод кизи томонидан Шарт№ 291 га асосан контракт тулови 60810065680099</t>
  </si>
  <si>
    <t>10711183</t>
  </si>
  <si>
    <t>001410,09,2026 йил шартнома № 46 га асосан Холбутаева Хусния Махмасодик кизини укиш контракт тулови от Холбутаева Хусния</t>
  </si>
  <si>
    <t>10711926</t>
  </si>
  <si>
    <t>001414.09.2026 йил №26/27 Sh/А 249 шартномага асосан 3-курс талабаси Камолова Маржона Шерали кизининг укиши учун тулов от KAMOLOVA MARJONA</t>
  </si>
  <si>
    <t>10712126</t>
  </si>
  <si>
    <t>001404.09.2025 йил №25/26 Sh/А129 шартномага асосан 2-курс талабаси Амирова Интизорой Хасан кизи укиши учун тулов от AMIROVA INTIZOROY</t>
  </si>
  <si>
    <t>10704162</t>
  </si>
  <si>
    <t>001410.09.2026 йил шартномага асосан Тошпулатова Гулсевар Алишер кизини укиш контракт тулови от Тошпулатова Гулсевар</t>
  </si>
  <si>
    <t>10705969</t>
  </si>
  <si>
    <t>001419.09.2026 йил №26/27 Sh/А313 шартномага асосан 1-курс талабаси Улугбекова Заранинг укиши учун тулов от ULUGBEKOVA ZARA</t>
  </si>
  <si>
    <t>10718025</t>
  </si>
  <si>
    <t>001415,07,2026 йил шартнома № 59 га асосан Жумаева Мухлиса Комилжон кизини укиш контракт тулови от Жумаева Мухлиса</t>
  </si>
  <si>
    <t>10711274</t>
  </si>
  <si>
    <t>001404,09,2025 йил шартнома № 128 га асосан Файзуллаева Насиба Муродуллаевнани укиш контракт тулови от Файзуллаева Насиба</t>
  </si>
  <si>
    <t>10718813</t>
  </si>
  <si>
    <t>00655OMONOVA SHAXNOZA NURIDDIN QIZI SHARTNOMA № 25/26 SH/А130 04,09,2025 YILGA ASOSAN O'QISH UCHUN TO'LOV от OMONOVA SHAXNOZA NURIDDIN QIZI</t>
  </si>
  <si>
    <t>10704785</t>
  </si>
  <si>
    <t>0065515.09.2026йилдаги ШАРТНОМА №26/27 Sh/A11 га асосан 1-курс талабаси Махмудова Мусаллам Камариддин кизи(AE5297116)нинг укиш тулови учун от Зайниева Муътабар</t>
  </si>
  <si>
    <t>10700520</t>
  </si>
  <si>
    <t>0066707.09.2026 йилдаги №26/27 SH/A-сонли шартномага асосан Рахматова Чарос Алишер кизининг контракт тулови учун от Гаффорова Замира</t>
  </si>
  <si>
    <t>10697530</t>
  </si>
  <si>
    <t>0065514.09.2026й даги Шартнома №26/27 Sh/A 302 га асосан 1-курс талабаси Хужакулова Навбахор Азим кизи (AD4186543)нинг укиш тулови учун от Рузикулов А</t>
  </si>
  <si>
    <t>10716591</t>
  </si>
  <si>
    <t>00655ESHBOBOYEVA FOTIMA NURALI QIZI SHARTNOMA №26/27 SH/А 45 08,06,2026 YILGA ASOSAN O'QISH UCHUN TO'LOV от ESHBOBOYEVA FOTIMA NURALI QIZI</t>
  </si>
  <si>
    <t>10716637</t>
  </si>
  <si>
    <t>00655Шартнома № 26/27 sh/a га асосан талаба (пинфл:60802055730066)XASANOVA GULHAYO AKMAL QIZIнинг контракт тулови утказилди от XASANOVA GULXAYO</t>
  </si>
  <si>
    <t>10724628</t>
  </si>
  <si>
    <t>00655SHARIPOVA DIYORA SHARTNOMA №26/27 SH/А 57 13,07,2026 YILGA ASOSAN O'QISH UCHUN TO'LOV от SHARIPOVA DIYORA</t>
  </si>
  <si>
    <t>10717841</t>
  </si>
  <si>
    <t>00667№26/27 SH/A-284-сонли шартномага асосан Набиева Зебинисонинг контракт тулови учун от Мардоналиев Абдухалил</t>
  </si>
  <si>
    <t>10714322</t>
  </si>
  <si>
    <t>00655Шартнома№26/27 sh/a 235 га асосан талаба Raxmatullayev laziz luqmon ugli нинг 3-курс 50910203-Хамширалик иши учун контракт тулови утказилди от RAJABOVA ERGASHOY</t>
  </si>
  <si>
    <t>3232301508</t>
  </si>
  <si>
    <t>00602401021860104017049996225002~207324757~Ёшлар ишлари агентлиги Кашкадарё вилоят бошкармаси~№304 от 21.09.2026  сонли юридик мажбуриятга асосан 2026 йил 13 август 328-4-0-Q/26-сонли O?ZBEKISTON RESPUBLIKASI QASHQADARYO VILOYATI HOKIMINING QARORIга асосан "Ёшларга оид давлат сиёсатини кулллаб-кувватлаш жамгармаси" маблаглари хисобидан Кенжаева Севинч Уткир кизи  25.02.2026 й  №T07822510936779-сонли контракт тулови утказилди.; Ст.  48.21190-3000000.00</t>
  </si>
  <si>
    <t>14162074</t>
  </si>
  <si>
    <t>375169138</t>
  </si>
  <si>
    <t>00995Ixtiyorova Nigina Xolovna Kontrakt tulovi</t>
  </si>
  <si>
    <t>10716351</t>
  </si>
  <si>
    <t>00655Karimova Marjona Nosir Qizi shartnoma №26/27 SH/А 280 04,09,2026 YILGA ASOSAN O'QISH UCHUN TO'LOV от Karimova Marjona Nosir Qizi</t>
  </si>
  <si>
    <t>10714438</t>
  </si>
  <si>
    <t>00655Шартнома №26/27 sh/a шартномага асосан талаба BOBOQULOVA HILOLA FAXRIDDIN QIZIнинг 2-курс 50910203-Хамширалик иши учун контракт тулови утказилди от BAXRINOVA DILAFRUZ</t>
  </si>
  <si>
    <t>10712182</t>
  </si>
  <si>
    <t>0066718.09.2026 YILDAGI № 26/27 SH/A252 SONLI SHARNOMAGA ASOSAN 3-KURS (AD9719764) MUXTOROVA DILOBAR ALISHER QIZINING KANTRAK TULOVI от MUXTOROVA DILOBAR ALISHER QIZI</t>
  </si>
  <si>
    <t>10716753</t>
  </si>
  <si>
    <t>00655Шартнома № 26/27 sh/a га асосан талаба (пинфл:60802055730066)XASANOVA GULHAYO AKMAL QIZIнинг контракт тулови утказилди от XASANOVA GULHAYO</t>
  </si>
  <si>
    <t>10704741</t>
  </si>
  <si>
    <t>0065507.09.2026 й Шартнома№26/27 sh/a 275 га асосан талаба HAMROQULOVA MARJONA UKTAM QIZIнинг 50910203- хамширалик учун контракт тулови утказилди от AXADOV XUDOYMUROD</t>
  </si>
  <si>
    <t>10714513</t>
  </si>
  <si>
    <t>00655Шартнома№26/27 sh/a 281 га асосан талаба KELDIYOROVA LAYLO KAMOL QIZIнинг 3-курс 50910203-Хамширалик иши учун контракт тулови утказилди от BAXRINOVA DILAFRUZ</t>
  </si>
  <si>
    <t>10711377</t>
  </si>
  <si>
    <t>0066704,09,2025 йил шартнома № 151 га асосан Эргашева Мохинур Акбар кизини укиш контракт тулови от Эргашева Мохинур</t>
  </si>
  <si>
    <t>10738426</t>
  </si>
  <si>
    <t>001425.06.2026 йил №26/27 Sh/A 17 шартномага асосан 1-курс талабаси Жалилова Шабнам Фозилжон кизининг укиши учун тулов от ABDIYEVA NAVBAHOR</t>
  </si>
  <si>
    <t>10735392</t>
  </si>
  <si>
    <t>001412,08,2026 йил шартнома № 176 га асосан Мухторова Хадича Зухриддин кизини укиш контракт тулови от Эгамбердиева Орзигул</t>
  </si>
  <si>
    <t>10746528</t>
  </si>
  <si>
    <t>0066723072026 йилдаги №26/27sh/a 89 сонли шартномага асосан контракт тулови учун утказилди от Шогдорова Маржона</t>
  </si>
  <si>
    <t>10752978</t>
  </si>
  <si>
    <t>0066715.09.2026 YILDAGI № 26/27 SH/A 241 SONLI SHARNOMAGA ASOSAN 3-KURS (AD5352131) TURAYEVA MANZURA YORQIN QIZINING KANTRAK TULOVI от TURAYEVA MANZURA YORQIN QIZI</t>
  </si>
  <si>
    <t>10746661</t>
  </si>
  <si>
    <t>0066711.09.2026 йилдаги №26/27 SH/A 301-сонли шартномага асосан Мансурова Гуласал Мусурмон кизининг контракт тулови учун от Юсупова Салима</t>
  </si>
  <si>
    <t>10730671</t>
  </si>
  <si>
    <t>00655Eshquvatova Yulduz Asliddin qizi O'qishi uchun to'lovi от Eshquvatova Yulduz</t>
  </si>
  <si>
    <t>0006863473</t>
  </si>
  <si>
    <t>00099Ниезова Комила Тошпулатовна томонидан Шартномага асосан контракт тулови.</t>
  </si>
  <si>
    <t>10743111</t>
  </si>
  <si>
    <t>0065509,09,2026 №26/27 SH/A 76 ga asosan BEKMIRZAYEVA SHAXRIZODA SAFAROVNA(AC2300123) ning kontrakt tulovi uchun от BEKMIRZAYEVA SHAXRIZODA</t>
  </si>
  <si>
    <t>10742857</t>
  </si>
  <si>
    <t>00667AMIROVA SHODIYONA XASAN QIZINI 01.09.2026 YILDAGI 26/27 SH/A 33 GA ASOSAN KONTRAKT TULOVI «Ипак Йули» QARSHI TIBBIYOT TEXNIKUMI NTM от AMIROVA SHODIYONA XASAN QIZI</t>
  </si>
  <si>
    <t>10744571</t>
  </si>
  <si>
    <t>0065515,09,2026 №26/27 SH/A 286 ga asosan NOMOZOVA CHAROS SHOXDOR QIZI(AD1098594) ning kontrakt tulovi uchun от NOMOZOVA CHAROS</t>
  </si>
  <si>
    <t>10752741</t>
  </si>
  <si>
    <t>0066715.09.2026 YILDAGI № 26/27 SH/A240SONLI SHARNOMAGA ASOSAN 3-KURS (AC2335501) TURAQULOVA ELNORA ERKIN QIZINING KANTRAK TULOVI от TURAQULOVA ELNORA ERKIN QIZI</t>
  </si>
  <si>
    <t>10744711</t>
  </si>
  <si>
    <t>0065515.09.2026 №26/27 SH/A 285 shartnomaga asosan NABIYEVA ZEBINISO SOYIBJON QIZI(AD2442920) ning kontrakt tulovi uchun от NABIYEVA ZEBINISO</t>
  </si>
  <si>
    <t>10747731</t>
  </si>
  <si>
    <t>0066707.09.2026йил Шартнома №26/27 Sh/A 175 га асосан SATTOROVA GULASALBONU SOBIR QIZIнинг укув контракт тулови учун утказилди (AD 2185679) от Уралова Азиза</t>
  </si>
  <si>
    <t>10747140</t>
  </si>
  <si>
    <t>00655Primova Xusnora shartnoma №26/27 sh/А251 31,08,2026 yildagi asosan o'qish uchun to'lov от Xudaynazarova Dilafruz</t>
  </si>
  <si>
    <t>10776328</t>
  </si>
  <si>
    <t>001407.09.2026 йил №26/27 Sh/А185 шартномага асосан 2-курс талабаси Боймуродова Шахноза Шухрат кизининг укиши учун тулов от BOYMURODOVA SHAXNOZA</t>
  </si>
  <si>
    <t>10766411</t>
  </si>
  <si>
    <t>001407,09,2026 йил шартнома № 169 га асосан Пардаева Шахзода Нодир кизини укиш контракт тулови от Пардаева Шахзода</t>
  </si>
  <si>
    <t>10773713</t>
  </si>
  <si>
    <t>0065509.09.2026 №26/27 SH/A 98 ga asosan YUSUPOVA DILNURA NURIDDIN QIZI(JSHSHIR:60701085680029) ning kontrakt tulovi uchun от YUSUPOVA DILNURA</t>
  </si>
  <si>
    <t>10771156</t>
  </si>
  <si>
    <t>0066704.09.2025 йил №25/26 SH/A136 шартномага асосан 2-курс талабаси Тулкинова Солиха Уйгун Кизи(AD9647009)нинг контракт тулови от АВЛОКУЛОВ УЙГУН</t>
  </si>
  <si>
    <t>10780509</t>
  </si>
  <si>
    <t>0065504.09.2025й.даги Шартнома №25/26 Sh/A 116 га асосан 2-курс талабаси IBODULLAYEVA LATOFAT SAYIT QIZI (AE7878004)нинг укиш тулови учун от Ибодуллаева Латофат</t>
  </si>
  <si>
    <t>10768449</t>
  </si>
  <si>
    <t>0065510.09.2026йилдаги Шартнома №26/27 Sh/A 34 га асосан 2-курс талабаси NEGMATOVA NAZMINA POYON QIZI нинг укиш тулови учун от NEGMATOVA NAZMINA</t>
  </si>
  <si>
    <t>10771963</t>
  </si>
  <si>
    <t>0066721.09.2026 YILDAGI № 26/27 SH/A269 SONLI SHARNOMAGA ASOSAN 3-KURS (AD2629636) ARZIQULOVA ZAHRO AZAMAT QIZINING KANTRAK TULOVI от ARZIQULOVA ZAHRO AZAMAT QIZI</t>
  </si>
  <si>
    <t>10769522</t>
  </si>
  <si>
    <t>00655QURBONALIYEVA NARGIZA QAHRAMON QIZI SHARTNOMA №26/27 SH/A 15,09,2026 GA ASOSAN от QURBONALIYEVA NARGIZA QAHRAMON QIZI</t>
  </si>
  <si>
    <t>10769167</t>
  </si>
  <si>
    <t>00655SALOMOVA JASMINA AZAMAT QIZI SHARTNOMA №26/27 SH/A 10.09.2026 YILDAGI ASOSAN O'QISH UCHUN TO'LOV от SALOMOVA JASMINA</t>
  </si>
  <si>
    <t>10764997</t>
  </si>
  <si>
    <t>0066709.09.2026 йил шартнома № 45 га асосан Хайдарова Зебинисо Аскар кизини укиш контракт тулови от Азизова Саломат</t>
  </si>
  <si>
    <t>10766484</t>
  </si>
  <si>
    <t>0066707,09,2026 йил шартнома № 169 га асосан Пардаева Шахзода Нодир кизини укиш контракт тулови от Расулова Шахноза</t>
  </si>
  <si>
    <t>10762942</t>
  </si>
  <si>
    <t>0065507.09.2026й. даги Шартнома №26/27 Sh/A 283 га асосан 1-курс талабаси Усмонова Гулноза Хамдам кизи (AB5702170)нинг укиш тулови учун от Усмонова Гулноза</t>
  </si>
  <si>
    <t>10762430</t>
  </si>
  <si>
    <t>00655USMONOVA ASALOY GOFUR QIZI SHARTNOMA №26/27 SH/А ГА АСОСАН УКИШ УЧУН ТУЛОВ. от USMONOVA ASALOY</t>
  </si>
  <si>
    <t>10771308</t>
  </si>
  <si>
    <t>0066704.09.2026 й Шартнома №26/27 SH/A 266 га асосан Нафасова Севинч Боллижон кизининг укув кантракт тулови утказилди. от Турдиева З</t>
  </si>
  <si>
    <t>10767327</t>
  </si>
  <si>
    <t>00655BOZOROVA AZIZA RAVSHAN QIZI SHARTNOMA №26/27 SH/A186 07.09.2026 GA ASOSAN O'QISH UCHUN TO'LOV от MUSIRMONOVA DILSHODA ARIZASIGA ASOSAN</t>
  </si>
  <si>
    <t>10776517</t>
  </si>
  <si>
    <t>00655Шартномага асосан Рузиева Мохира Шухрат кизининг укиш тулови учун от Рузиева Мохира Шухрат кизи</t>
  </si>
  <si>
    <t>10766885</t>
  </si>
  <si>
    <t>0065504.09.2025 №25/26 SH/A 264 ga asosan IBROHIMOVA GULASAL NURBEK QIZI(AD8087163) ning kontrakt tulovi uchun от RAZZOQOVA RANO</t>
  </si>
  <si>
    <t>10833978</t>
  </si>
  <si>
    <t>0066715.09.2026й №26/27 Sh/A 268 сонли шартномага асосан ABDULLAYEVA JASMINA XOLBOTIR QIZI нинг контракт тулови от ABDULLAYEVA JASMINA</t>
  </si>
  <si>
    <t>10829515</t>
  </si>
  <si>
    <t>0065515.09.2026йилдаги Шартнома №26/27 Sh/A 239 га асосан 3-курс талабаси Шодиев Икромжон Эшпулат угли(АВ5771325)нинг укиш тулови учун от Шодиев Икромжон</t>
  </si>
  <si>
    <t>10817974</t>
  </si>
  <si>
    <t>00655№26/27 SH/A 267 сонли шартномага асосан контракт тулови учун утказилди от Йулдошова Диёра Шерзод кизи</t>
  </si>
  <si>
    <t>10835007</t>
  </si>
  <si>
    <t>0065521.09.2026й Шартнома№26/27 sh/a 315 га асосан талаба SAYFIYEVA SARVINOZ ZAFAR QIZIнинг (пинфл:41507985590074 AB6304158) 50910203-хамширалик иши учун контракт тулови утказилди от SAYFIEVA SARVINOZ</t>
  </si>
  <si>
    <t>10821717</t>
  </si>
  <si>
    <t>0066718.09.2026й №26/27 Sh/A312 cонли шартномага асосан Alimova Sevinch Raxmiddin qizi нинг контракт тулови от Alimova Sevinch</t>
  </si>
  <si>
    <t>10824837</t>
  </si>
  <si>
    <t>0065509.09.2026 №26/37 SH/A 125 shartnomaga asosan YUSUPOVA HOSILA AKMAL QIZI(AD7115916) ning kontrakt tulovi uchun от AMIROVA ROXILA</t>
  </si>
  <si>
    <t>40787146</t>
  </si>
  <si>
    <t>00111HOMIDOVA ASILAXON GULOMJON QIZI 09.09.2026Y. 26/27 SH/A105 SHARTNOMAGA ASOSAN KONTRAKT TULOVI</t>
  </si>
  <si>
    <t>10818828</t>
  </si>
  <si>
    <t>0066726/27 SHARTNOMAGA ASOSAN JOBBOROVA GULCHIROY NORMAXMAT QIZINI KONTRAKT TULOVI «Ипак Йули» QARSHI TIBBIYOT TEXNIKUMI NTM от NAZAROVA GULBAXOR</t>
  </si>
  <si>
    <t>10884632</t>
  </si>
  <si>
    <t>001409,09,2026 йил №26/27 Sh/A79 шартномага асосан Эшкобилова Дилбарнинг контракт тулови от Худойкулова Шоира</t>
  </si>
  <si>
    <t>10878696</t>
  </si>
  <si>
    <t>001407.09.2026 йил №26/27 Sh/А 900 шартномага асосан 2-курс талабаси Кудусова Маржона Рахимкуловнанинг укиши учун тулов от QUDUSOVS MARJONA RAHIMQULOVNA</t>
  </si>
  <si>
    <t>10884533</t>
  </si>
  <si>
    <t>001409,09,2026 йил №26/27 Sh/A94 шартномага асосан Сувонова Севинчнинг котракт тулови от Буриева Мархабо</t>
  </si>
  <si>
    <t>10886658</t>
  </si>
  <si>
    <t>0065515.09.2026йилдаги Шартнома №26/27 Sh/A 220га асосан 3-курс талабаси Ибодуллаева Мадина Бахтиёр кизининг укиш тулови учун от Курбоналиев Рахматжон</t>
  </si>
  <si>
    <t>10877866</t>
  </si>
  <si>
    <t>0065504.09.2025 №25/26 SH/A 272 ga asosan MUHAMMADIYEVA RAYHON RAHMATOVNA (AD9028774) ning kontrakt tulovi uchun от MUHAMMADIYEVA RAYHON</t>
  </si>
  <si>
    <t>10878017</t>
  </si>
  <si>
    <t>0065507.09.2026йилдаги Шартнома №201 га асосан Сафарова Шахзода Баходир кизининг контракт тулови от Сафарова Шахзода</t>
  </si>
  <si>
    <t>10875486</t>
  </si>
  <si>
    <t>0066715,08,2026 йил №187 ш-га асосан Кучкаова Зебинисо Фарход кизининг контракт тулови учун от Кучкаова Зебинисо Фарход кизи</t>
  </si>
  <si>
    <t>10887177</t>
  </si>
  <si>
    <t>00655Шартномага асосан Холикова Маржона Бахтиёр кизининг контракт тулови учун утказилди от Холикова Маржона Бахтиёр кизи</t>
  </si>
  <si>
    <t>10874568</t>
  </si>
  <si>
    <t>00655SHARIFOVA SEVINCH O'TKIR QIZI SHARTNOMA №26/27 SH/A 07.09.2026 GA ASOSAN O'QISH UCHUN TO'LOV от SHARIFOVA SEVINCH O'TKIR QIZI</t>
  </si>
  <si>
    <t>10885548</t>
  </si>
  <si>
    <t>00655Bahodirova Sabrina Musurmon qizi shartnoma №26/27 sh/А219 ga asosan oqish uchun to'lov от Bohodirova Sabrina</t>
  </si>
  <si>
    <t>10889187</t>
  </si>
  <si>
    <t>006552026йил Сентябрь ойидаги Шартнома № 26/27 Sh/A270 га асосан 3-курс талабаси AHADQULOVA UGILOY SAIDQUL QIZI(AD4726447) нинг укиш тулови учун от Мардоналиев Абдухалил</t>
  </si>
  <si>
    <t>10878542</t>
  </si>
  <si>
    <t>0065525.03.2026 №25/26 SH/A 369 shartnomaga asosan NORMO'MINOVA ASAL QULMAMATOVNA (AC0097118) ning kontrakt tulovi uchun от NORMO'MINOVA ASAL</t>
  </si>
  <si>
    <t>10908245</t>
  </si>
  <si>
    <t>001417.03.2026 йил №363 шартномага асосан 2-курс талабаси Жумаева Навруза Имомназар кизининг укиши учун тулов от Жумаева Навруза Имомназар кизи</t>
  </si>
  <si>
    <t>10906992</t>
  </si>
  <si>
    <t>0066709.09.2026 YILDAGI № - 26/27 SH/A174 SONLI SHARNOMAGA ASOSAN 2-KURS (AD5989765) XUDOYOROVA SHAXZODA SHUXRAT QIZINING KANTRAK TULOVI от SATTAROVA XANIFA UKRAMOVNA</t>
  </si>
  <si>
    <t>1118</t>
  </si>
  <si>
    <t>00655 Жулманов Ш нинг иш хакидан Бойбутаева Хосилойнинг укиши учун 17.03.26 йилдаги 362 шартномага асосан</t>
  </si>
  <si>
    <t>10920595</t>
  </si>
  <si>
    <t>0065528.09.2026 № 26/27 SH/A 324 ga asosan IRGASHEVA DINORA SHODMON QIZI(AC2430931) ning kontrakt tulovi uchun от RAFINOV ZAYNEDDIN</t>
  </si>
  <si>
    <t>10906388</t>
  </si>
  <si>
    <t>00667Shergoziyeva Dilyora Zikirillo Qizi(AD8970429)ниг контракт тулови от SHERGOZIYEVA DILYORA</t>
  </si>
  <si>
    <t>10920053</t>
  </si>
  <si>
    <t>0066704.09.2025 йил №148 шартномага асосан RAHMONQUKOVA GUKSANAM OKTAM QIZI(AD7137659)контракт тулови от ABDUMAJITOV RUSLAN</t>
  </si>
  <si>
    <t>10902623</t>
  </si>
  <si>
    <t>0065529.09.2026йилдаги SHARTNOMA №26/27 Sh/A 325 га асосан 1-курс талабаси SHONAZAROVA VAZIRA BOTIR QIZI(AE4233482)нинг укиш тулови учун от Хуррамова Замира</t>
  </si>
  <si>
    <t>Транз.счёт для наличных платежей физ лиц. Навбахор 200542744</t>
  </si>
  <si>
    <t>10945035</t>
  </si>
  <si>
    <t>0066701.12.2025 йил кунги № 25/26 сон шарт ас ABDUALIYEVA VAZIRA RAMAZON QIZIнинг контракт тулови учун утказилмокда от ABDUALIYEVA VAZIRA RAMAZON QIZI</t>
  </si>
  <si>
    <t>10938598</t>
  </si>
  <si>
    <t>0066717.09.2026 йил №224 шартномага асосан KARAMATOVA UMIDA ULUGBEK QIZI(AD2559658)нинг контракт тулови от KARAMATOVA UMIDA ULUGBEK QIZI</t>
  </si>
  <si>
    <t>10953345</t>
  </si>
  <si>
    <t>0065507.09.2026й Шартнома№26/27 sh/a 180 га асосан талаба XAYITOVA MADINA GAYRATOVNA НИНГ 2-КУРС 40910203-хамширалик иши учун контракт тулови утказилди от HAYITOVA MADINA</t>
  </si>
  <si>
    <t>10951181</t>
  </si>
  <si>
    <t>0066707.09.2026 YILDAGI № 26/27 SH/A66 SONLI SHARNOMAGA ASOSAN 2-KURS (AD9641356) TOJIDDINOV IDRISBEK OZOD OGLINING KANTRAK TULOVI от TOJIDDINOV IDRISBEK OZOD OGLI</t>
  </si>
  <si>
    <t>10936823</t>
  </si>
  <si>
    <t>006552026 yil № 26/27 SH/A 216 ga asosan ABDURAHMONOVA ZEBO TOLIBOVNA(AD3322083) ning kontrakt tulovi uchun от NOROVA ZARINA TOHIR QIZI</t>
  </si>
  <si>
    <t>10937042</t>
  </si>
  <si>
    <t>00655Ортиков Нодир шартнома №26/27 sh/А230 15,09,2026 йилга асосан укиш учун тулов. от Ортиков Нодир</t>
  </si>
  <si>
    <t>10937749</t>
  </si>
  <si>
    <t>0065504.09.2026 № 26/27 SH/A ga asosan JURAQULOVA FOTIMA MURTAZO QIZI ning kontrakt tulovi uchun от JURAQULOVA FOTIMA</t>
  </si>
  <si>
    <t>10937022</t>
  </si>
  <si>
    <t>0066707.09.2026й №26/27 Sh/A165 Nosirova Umida нинг контракт тулови утказилди от JAMOLOVA OZODA</t>
  </si>
  <si>
    <t>10949772</t>
  </si>
  <si>
    <t>0066707.09.2026й №26/27 Sh/A 327 сонли шартномага асосан Sattorova Sevinch Otabek qizi нинг 2 курс контракт тулови от Sattorova S</t>
  </si>
  <si>
    <t>10943426</t>
  </si>
  <si>
    <t>00655RAUFOVA ZIYODA ABDIVOIT QIZIнинг (пинфл:40307955680065 AD6311530) контракт тулови утказилди от RAUFOVA ZIYODA</t>
  </si>
  <si>
    <t>10972333</t>
  </si>
  <si>
    <t>001410.09.2026 йил шартнома №га асосан Рустамова Мадинабону Муртоза кизини укиш контракт тулови от Рустамова Мадинабону</t>
  </si>
  <si>
    <t>10987248</t>
  </si>
  <si>
    <t>001404,09,2026 йил шартнома № 319 га асосан Абдиназарова Дилафруз Бурхон кизини укиш контракт тулови от Абдиназарова Д</t>
  </si>
  <si>
    <t>10993284</t>
  </si>
  <si>
    <t>001407,09,2026 йил №26/27 Sh/A 21 шартномага асосан 2-курс талабаси Тухлиева Нилуфар Бахтиёр кизининг укиши учун тулов от TUXLIYEVA NILUFAR BAXTIYOR QIZI</t>
  </si>
  <si>
    <t>10991384</t>
  </si>
  <si>
    <t>001404,09,2026 йил шартнома № 380 га асосан Алибоева Малохат Бахтиёровнани укиш контракт тулови от Алибоева Малохат</t>
  </si>
  <si>
    <t>10991493</t>
  </si>
  <si>
    <t>001407,09,2026 йил шартнома № 172 га асосан Рахмонкулова Зулфия Акрамжон кизини укиш кнтракт тулови от Рахмонкулова Зулфия</t>
  </si>
  <si>
    <t>10998979</t>
  </si>
  <si>
    <t>00655Шартнома№25/26 sh/a QARSHIEVA KAMOLA RUSTAM QIZIнигнг(AC2571007) от NAFASOV BOTIR</t>
  </si>
  <si>
    <t>10982500</t>
  </si>
  <si>
    <t>0065504.09.2025 №25/26 SH/A 263 ga asosan SHUKURILLAYEVA DILNURA JASURBEK QIZI(AD7196673) ning kontrakt tulovi uchun от TUROPOVA DILNAVOZ</t>
  </si>
  <si>
    <t>10994237</t>
  </si>
  <si>
    <t>0066707.09.2026 YILDAGI № 26/27 SH/A153 SONLI SHARNOMAGA ASOSAN 2-KURS (AE8268632) XUDOYKULOVA MUNISA MUZUROVNANING KANTRAK TULOVI от XUDOYKULOVA MUNISA MUZUROVNA</t>
  </si>
  <si>
    <t>10980677</t>
  </si>
  <si>
    <t>0066715.09.2026 йилдаги №26/27 SH/A 288-сонли шартномага асосан 3-курс талабаси Курбонова Холиданинг контракт тулови учун от Курбонова Холида</t>
  </si>
  <si>
    <t>10990328</t>
  </si>
  <si>
    <t>00655Boymurodova Marjona shartnoma №26/27 10,09,2026 ga asosan o'qish uchun to'lov от Boymurodova Marjona</t>
  </si>
  <si>
    <t>10984459</t>
  </si>
  <si>
    <t>0065510.09.2026йилдаги SHARTNOMA №26/27 Sh/A га асосан 2-курс талабаси MUYSINOVA MAHLIYO RAVSHAN QIZIнинг укиш тулови от Muysinova Mahliyo</t>
  </si>
  <si>
    <t>10994871</t>
  </si>
  <si>
    <t>0065510.04.2026 №25/26 SH/A 372 shartnomaga asosan NIYOZOVA BIBIXONIM ALISHEROVNA(AD3652553) ning kontrakt tulovi uchun от NIYOZOVA BIBIXONIM</t>
  </si>
  <si>
    <t>0010205457</t>
  </si>
  <si>
    <t>00655Egamberdiyeva Sevara Sherzod qizi KONTRAKT TO`LOVI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</si>
</sst>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Tahom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10" applyNumberFormat="0" applyAlignment="0" applyProtection="0"/>
    <xf numFmtId="0" fontId="18" fillId="11" borderId="11" applyNumberFormat="0" applyAlignment="0" applyProtection="0"/>
    <xf numFmtId="0" fontId="19" fillId="11" borderId="10" applyNumberFormat="0" applyAlignment="0" applyProtection="0"/>
    <xf numFmtId="0" fontId="20" fillId="0" borderId="12" applyNumberFormat="0" applyFill="0" applyAlignment="0" applyProtection="0"/>
    <xf numFmtId="0" fontId="21" fillId="12" borderId="1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15" applyNumberFormat="0" applyFill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13" borderId="14" applyNumberFormat="0" applyFont="0" applyAlignment="0" applyProtection="0"/>
  </cellStyleXfs>
  <cellXfs count="42">
    <xf numFmtId="0" fontId="0" fillId="0" borderId="0" xfId="0"/>
    <xf numFmtId="43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9" fontId="0" fillId="0" borderId="0" xfId="3" applyFont="1"/>
    <xf numFmtId="0" fontId="0" fillId="0" borderId="4" xfId="0" applyBorder="1"/>
    <xf numFmtId="0" fontId="0" fillId="4" borderId="0" xfId="0" applyFill="1"/>
    <xf numFmtId="0" fontId="0" fillId="5" borderId="4" xfId="0" applyFill="1" applyBorder="1"/>
    <xf numFmtId="0" fontId="0" fillId="6" borderId="4" xfId="0" applyFill="1" applyBorder="1"/>
    <xf numFmtId="0" fontId="0" fillId="4" borderId="4" xfId="0" applyFill="1" applyBorder="1"/>
    <xf numFmtId="164" fontId="0" fillId="6" borderId="4" xfId="0" applyNumberFormat="1" applyFill="1" applyBorder="1"/>
    <xf numFmtId="43" fontId="0" fillId="6" borderId="4" xfId="0" applyNumberFormat="1" applyFill="1" applyBorder="1"/>
    <xf numFmtId="43" fontId="0" fillId="6" borderId="5" xfId="0" applyNumberFormat="1" applyFill="1" applyBorder="1"/>
    <xf numFmtId="164" fontId="0" fillId="0" borderId="4" xfId="0" applyNumberFormat="1" applyBorder="1"/>
    <xf numFmtId="43" fontId="0" fillId="0" borderId="4" xfId="0" applyNumberFormat="1" applyBorder="1"/>
    <xf numFmtId="43" fontId="0" fillId="0" borderId="5" xfId="0" applyNumberFormat="1" applyBorder="1"/>
    <xf numFmtId="164" fontId="8" fillId="6" borderId="4" xfId="0" applyNumberFormat="1" applyFont="1" applyFill="1" applyBorder="1"/>
    <xf numFmtId="164" fontId="8" fillId="0" borderId="4" xfId="0" applyNumberFormat="1" applyFont="1" applyBorder="1"/>
    <xf numFmtId="0" fontId="0" fillId="0" borderId="0" xfId="0" applyAlignment="1">
      <alignment wrapText="1"/>
    </xf>
    <xf numFmtId="0" fontId="0" fillId="0" borderId="6" xfId="0" applyBorder="1"/>
    <xf numFmtId="0" fontId="0" fillId="5" borderId="6" xfId="0" applyFill="1" applyBorder="1"/>
    <xf numFmtId="0" fontId="9" fillId="4" borderId="6" xfId="0" applyFont="1" applyFill="1" applyBorder="1" applyAlignment="1">
      <alignment horizontal="center"/>
    </xf>
    <xf numFmtId="0" fontId="9" fillId="0" borderId="6" xfId="0" applyFont="1" applyBorder="1" applyAlignment="1">
      <alignment wrapText="1"/>
    </xf>
    <xf numFmtId="0" fontId="0" fillId="5" borderId="6" xfId="0" applyFill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2" applyNumberFormat="1" applyFont="1" applyBorder="1" applyAlignment="1">
      <alignment horizontal="center" vertical="center" wrapText="1"/>
    </xf>
    <xf numFmtId="14" fontId="0" fillId="0" borderId="6" xfId="0" applyNumberFormat="1" applyBorder="1"/>
    <xf numFmtId="164" fontId="0" fillId="0" borderId="6" xfId="2" applyNumberFormat="1" applyFont="1" applyBorder="1"/>
    <xf numFmtId="0" fontId="0" fillId="3" borderId="6" xfId="0" applyFill="1" applyBorder="1"/>
    <xf numFmtId="164" fontId="0" fillId="0" borderId="6" xfId="2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0" fillId="4" borderId="6" xfId="0" applyFill="1" applyBorder="1"/>
    <xf numFmtId="0" fontId="0" fillId="4" borderId="6" xfId="0" applyFill="1" applyBorder="1" applyAlignment="1">
      <alignment wrapText="1"/>
    </xf>
    <xf numFmtId="164" fontId="0" fillId="0" borderId="6" xfId="2" applyNumberFormat="1" applyFon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/>
    </xf>
    <xf numFmtId="164" fontId="0" fillId="5" borderId="6" xfId="2" applyNumberFormat="1" applyFont="1" applyFill="1" applyBorder="1" applyAlignment="1">
      <alignment horizontal="center"/>
    </xf>
  </cellXfs>
  <cellStyles count="47">
    <cellStyle name="20% — акцент1" xfId="22" builtinId="30" customBuiltin="1"/>
    <cellStyle name="20% — акцент2" xfId="26" builtinId="34" customBuiltin="1"/>
    <cellStyle name="20% — акцент3" xfId="30" builtinId="38" customBuiltin="1"/>
    <cellStyle name="20% — акцент4" xfId="34" builtinId="42" customBuiltin="1"/>
    <cellStyle name="20% — акцент5" xfId="38" builtinId="46" customBuiltin="1"/>
    <cellStyle name="20% — акцент6" xfId="42" builtinId="50" customBuiltin="1"/>
    <cellStyle name="40% — акцент1" xfId="23" builtinId="31" customBuiltin="1"/>
    <cellStyle name="40% — акцент2" xfId="27" builtinId="35" customBuiltin="1"/>
    <cellStyle name="40% — акцент3" xfId="31" builtinId="39" customBuiltin="1"/>
    <cellStyle name="40% — акцент4" xfId="35" builtinId="43" customBuiltin="1"/>
    <cellStyle name="40% — акцент5" xfId="39" builtinId="47" customBuiltin="1"/>
    <cellStyle name="40% — акцент6" xfId="43" builtinId="51" customBuiltin="1"/>
    <cellStyle name="60% — акцент1" xfId="24" builtinId="32" customBuiltin="1"/>
    <cellStyle name="60% — акцент2" xfId="28" builtinId="36" customBuiltin="1"/>
    <cellStyle name="60% — акцент3" xfId="32" builtinId="40" customBuiltin="1"/>
    <cellStyle name="60% — акцент4" xfId="36" builtinId="44" customBuiltin="1"/>
    <cellStyle name="60% — акцент5" xfId="40" builtinId="48" customBuiltin="1"/>
    <cellStyle name="60% — акцент6" xfId="44" builtinId="52" customBuiltin="1"/>
    <cellStyle name="Акцент1" xfId="21" builtinId="29" customBuiltin="1"/>
    <cellStyle name="Акцент2" xfId="25" builtinId="33" customBuiltin="1"/>
    <cellStyle name="Акцент3" xfId="29" builtinId="37" customBuiltin="1"/>
    <cellStyle name="Акцент4" xfId="33" builtinId="41" customBuiltin="1"/>
    <cellStyle name="Акцент5" xfId="37" builtinId="45" customBuiltin="1"/>
    <cellStyle name="Акцент6" xfId="41" builtinId="49" customBuiltin="1"/>
    <cellStyle name="Ввод " xfId="13" builtinId="20" customBuiltin="1"/>
    <cellStyle name="Вывод" xfId="14" builtinId="21" customBuiltin="1"/>
    <cellStyle name="Вычисление" xfId="15" builtinId="22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9" builtinId="19" customBuiltin="1"/>
    <cellStyle name="Итог" xfId="20" builtinId="25" customBuiltin="1"/>
    <cellStyle name="Контрольная ячейка" xfId="17" builtinId="23" customBuiltin="1"/>
    <cellStyle name="Название" xfId="5" builtinId="15" customBuiltin="1"/>
    <cellStyle name="Нейтральный" xfId="12" builtinId="28" customBuiltin="1"/>
    <cellStyle name="Обычный" xfId="0" builtinId="0"/>
    <cellStyle name="Обычный 2" xfId="1" xr:uid="{05969E6A-9797-46D3-9CCF-5AF8F2CE8BB2}"/>
    <cellStyle name="Обычный 3" xfId="4" xr:uid="{8FE9299F-486F-4802-AD6B-3BFDCFD37A7A}"/>
    <cellStyle name="Обычный 4" xfId="45" xr:uid="{AE14BBE3-9C2B-470D-BFDB-F62852D746CF}"/>
    <cellStyle name="Плохой" xfId="11" builtinId="27" customBuiltin="1"/>
    <cellStyle name="Пояснение" xfId="19" builtinId="53" customBuiltin="1"/>
    <cellStyle name="Примечание 2" xfId="46" xr:uid="{0D663DF6-F267-4A67-9637-2A8BC9080744}"/>
    <cellStyle name="Процентный" xfId="3" builtinId="5"/>
    <cellStyle name="Связанная ячейка" xfId="16" builtinId="24" customBuiltin="1"/>
    <cellStyle name="Текст предупреждения" xfId="18" builtinId="11" customBuiltin="1"/>
    <cellStyle name="Финансовый" xfId="2" builtinId="3"/>
    <cellStyle name="Хороший" xfId="10" builtinId="26" customBuiltin="1"/>
  </cellStyles>
  <dxfs count="10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91A40"/>
      <color rgb="FFB6B6B6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37BB-CF52-4452-AAB5-5A48AEA4BB67}">
  <dimension ref="A1:J416"/>
  <sheetViews>
    <sheetView tabSelected="1" zoomScale="96" zoomScaleNormal="96" workbookViewId="0">
      <pane ySplit="1" topLeftCell="A2" activePane="bottomLeft" state="frozen"/>
      <selection activeCell="M26" sqref="M26"/>
      <selection pane="bottomLeft" activeCell="H8" sqref="H8"/>
    </sheetView>
  </sheetViews>
  <sheetFormatPr defaultColWidth="8.85546875" defaultRowHeight="15" x14ac:dyDescent="0.25"/>
  <cols>
    <col min="1" max="1" width="10.5703125" bestFit="1" customWidth="1"/>
    <col min="2" max="2" width="12.85546875" bestFit="1" customWidth="1"/>
    <col min="3" max="3" width="67" bestFit="1" customWidth="1"/>
    <col min="4" max="4" width="11.42578125" bestFit="1" customWidth="1"/>
    <col min="5" max="5" width="8.5703125" bestFit="1" customWidth="1"/>
    <col min="6" max="6" width="10.140625" customWidth="1"/>
    <col min="7" max="7" width="20.28515625" style="2" bestFit="1" customWidth="1"/>
    <col min="8" max="8" width="255.7109375" style="24" bestFit="1" customWidth="1"/>
    <col min="9" max="9" width="37.7109375" bestFit="1" customWidth="1"/>
    <col min="10" max="10" width="20.28515625" bestFit="1" customWidth="1"/>
    <col min="11" max="11" width="85.140625" customWidth="1"/>
    <col min="12" max="12" width="119.5703125" customWidth="1"/>
    <col min="17" max="17" width="65.140625" customWidth="1"/>
    <col min="18" max="18" width="31.140625" customWidth="1"/>
    <col min="19" max="19" width="21" customWidth="1"/>
  </cols>
  <sheetData>
    <row r="1" spans="1:10" s="3" customFormat="1" ht="36.7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6</v>
      </c>
      <c r="H1" s="30" t="s">
        <v>7</v>
      </c>
      <c r="I1" s="30" t="s">
        <v>8</v>
      </c>
      <c r="J1" s="30" t="s">
        <v>9</v>
      </c>
    </row>
    <row r="2" spans="1:10" x14ac:dyDescent="0.25">
      <c r="A2" s="32">
        <v>46191</v>
      </c>
      <c r="B2" s="27" t="s">
        <v>298</v>
      </c>
      <c r="C2" s="25" t="s">
        <v>325</v>
      </c>
      <c r="D2" s="25" t="s">
        <v>357</v>
      </c>
      <c r="E2" s="25" t="s">
        <v>297</v>
      </c>
      <c r="F2" s="25" t="s">
        <v>162</v>
      </c>
      <c r="G2" s="33">
        <v>1275000</v>
      </c>
      <c r="H2" s="25" t="s">
        <v>358</v>
      </c>
      <c r="I2" s="25" t="s">
        <v>156</v>
      </c>
      <c r="J2" s="25"/>
    </row>
    <row r="3" spans="1:10" x14ac:dyDescent="0.25">
      <c r="A3" s="32">
        <v>46191</v>
      </c>
      <c r="B3" s="27" t="s">
        <v>298</v>
      </c>
      <c r="C3" s="25" t="s">
        <v>325</v>
      </c>
      <c r="D3" s="25" t="s">
        <v>359</v>
      </c>
      <c r="E3" s="25" t="s">
        <v>297</v>
      </c>
      <c r="F3" s="25" t="s">
        <v>162</v>
      </c>
      <c r="G3" s="33">
        <v>1000000</v>
      </c>
      <c r="H3" s="25" t="s">
        <v>360</v>
      </c>
      <c r="I3" s="26" t="s">
        <v>148</v>
      </c>
      <c r="J3" s="25">
        <v>2</v>
      </c>
    </row>
    <row r="4" spans="1:10" x14ac:dyDescent="0.25">
      <c r="A4" s="32">
        <v>46191</v>
      </c>
      <c r="B4" s="27" t="s">
        <v>298</v>
      </c>
      <c r="C4" s="25" t="s">
        <v>325</v>
      </c>
      <c r="D4" s="25" t="s">
        <v>361</v>
      </c>
      <c r="E4" s="25" t="s">
        <v>297</v>
      </c>
      <c r="F4" s="25" t="s">
        <v>162</v>
      </c>
      <c r="G4" s="33">
        <v>5000000</v>
      </c>
      <c r="H4" s="25" t="s">
        <v>362</v>
      </c>
      <c r="I4" s="34" t="s">
        <v>342</v>
      </c>
      <c r="J4" s="25">
        <v>1</v>
      </c>
    </row>
    <row r="5" spans="1:10" x14ac:dyDescent="0.25">
      <c r="A5" s="32">
        <v>46191</v>
      </c>
      <c r="B5" s="27" t="s">
        <v>298</v>
      </c>
      <c r="C5" s="25" t="s">
        <v>325</v>
      </c>
      <c r="D5" s="25" t="s">
        <v>363</v>
      </c>
      <c r="E5" s="25" t="s">
        <v>297</v>
      </c>
      <c r="F5" s="25" t="s">
        <v>162</v>
      </c>
      <c r="G5" s="33">
        <v>1806000</v>
      </c>
      <c r="H5" s="25" t="s">
        <v>364</v>
      </c>
      <c r="I5" s="26" t="s">
        <v>226</v>
      </c>
      <c r="J5" s="25">
        <v>1</v>
      </c>
    </row>
    <row r="6" spans="1:10" x14ac:dyDescent="0.25">
      <c r="A6" s="32">
        <v>46191</v>
      </c>
      <c r="B6" s="27" t="s">
        <v>298</v>
      </c>
      <c r="C6" s="25" t="s">
        <v>296</v>
      </c>
      <c r="D6" s="25" t="s">
        <v>365</v>
      </c>
      <c r="E6" s="25" t="s">
        <v>297</v>
      </c>
      <c r="F6" s="25" t="s">
        <v>157</v>
      </c>
      <c r="G6" s="33">
        <v>4500000</v>
      </c>
      <c r="H6" s="25" t="s">
        <v>366</v>
      </c>
      <c r="I6" s="26" t="s">
        <v>182</v>
      </c>
      <c r="J6" s="25">
        <v>2</v>
      </c>
    </row>
    <row r="7" spans="1:10" x14ac:dyDescent="0.25">
      <c r="A7" s="32">
        <v>46191</v>
      </c>
      <c r="B7" s="27" t="s">
        <v>298</v>
      </c>
      <c r="C7" s="25" t="s">
        <v>335</v>
      </c>
      <c r="D7" s="25" t="s">
        <v>367</v>
      </c>
      <c r="E7" s="25" t="s">
        <v>167</v>
      </c>
      <c r="F7" s="25" t="s">
        <v>160</v>
      </c>
      <c r="G7" s="33">
        <v>3400000</v>
      </c>
      <c r="H7" s="25" t="s">
        <v>368</v>
      </c>
      <c r="I7" s="26" t="s">
        <v>313</v>
      </c>
      <c r="J7" s="25">
        <v>1</v>
      </c>
    </row>
    <row r="8" spans="1:10" x14ac:dyDescent="0.25">
      <c r="A8" s="32">
        <v>46195</v>
      </c>
      <c r="B8" s="27" t="s">
        <v>298</v>
      </c>
      <c r="C8" s="25" t="s">
        <v>337</v>
      </c>
      <c r="D8" s="25" t="s">
        <v>369</v>
      </c>
      <c r="E8" s="25" t="s">
        <v>338</v>
      </c>
      <c r="F8" s="25" t="s">
        <v>162</v>
      </c>
      <c r="G8" s="33">
        <v>3230000</v>
      </c>
      <c r="H8" s="25" t="s">
        <v>370</v>
      </c>
      <c r="I8" s="26" t="s">
        <v>309</v>
      </c>
      <c r="J8" s="25">
        <v>1</v>
      </c>
    </row>
    <row r="9" spans="1:10" x14ac:dyDescent="0.25">
      <c r="A9" s="32">
        <v>46195</v>
      </c>
      <c r="B9" s="27" t="s">
        <v>298</v>
      </c>
      <c r="C9" s="25" t="s">
        <v>325</v>
      </c>
      <c r="D9" s="25" t="s">
        <v>371</v>
      </c>
      <c r="E9" s="25" t="s">
        <v>297</v>
      </c>
      <c r="F9" s="25" t="s">
        <v>162</v>
      </c>
      <c r="G9" s="33">
        <v>3000000</v>
      </c>
      <c r="H9" s="25" t="s">
        <v>372</v>
      </c>
      <c r="I9" s="25" t="s">
        <v>339</v>
      </c>
      <c r="J9" s="25">
        <v>1</v>
      </c>
    </row>
    <row r="10" spans="1:10" x14ac:dyDescent="0.25">
      <c r="A10" s="32">
        <v>46195</v>
      </c>
      <c r="B10" s="27" t="s">
        <v>298</v>
      </c>
      <c r="C10" s="25" t="s">
        <v>325</v>
      </c>
      <c r="D10" s="25" t="s">
        <v>373</v>
      </c>
      <c r="E10" s="25" t="s">
        <v>297</v>
      </c>
      <c r="F10" s="25" t="s">
        <v>162</v>
      </c>
      <c r="G10" s="33">
        <v>1000000</v>
      </c>
      <c r="H10" s="25" t="s">
        <v>374</v>
      </c>
      <c r="I10" s="26" t="s">
        <v>222</v>
      </c>
      <c r="J10" s="25">
        <v>1</v>
      </c>
    </row>
    <row r="11" spans="1:10" x14ac:dyDescent="0.25">
      <c r="A11" s="32">
        <v>46195</v>
      </c>
      <c r="B11" s="27" t="s">
        <v>298</v>
      </c>
      <c r="C11" s="25" t="s">
        <v>324</v>
      </c>
      <c r="D11" s="25" t="s">
        <v>375</v>
      </c>
      <c r="E11" s="25" t="s">
        <v>297</v>
      </c>
      <c r="F11" s="25" t="s">
        <v>162</v>
      </c>
      <c r="G11" s="33">
        <v>500000</v>
      </c>
      <c r="H11" s="25" t="s">
        <v>376</v>
      </c>
      <c r="I11" s="26" t="s">
        <v>222</v>
      </c>
      <c r="J11" s="25">
        <v>1</v>
      </c>
    </row>
    <row r="12" spans="1:10" x14ac:dyDescent="0.25">
      <c r="A12" s="32">
        <v>46195</v>
      </c>
      <c r="B12" s="27" t="s">
        <v>298</v>
      </c>
      <c r="C12" s="25" t="s">
        <v>325</v>
      </c>
      <c r="D12" s="25" t="s">
        <v>377</v>
      </c>
      <c r="E12" s="25" t="s">
        <v>297</v>
      </c>
      <c r="F12" s="25" t="s">
        <v>162</v>
      </c>
      <c r="G12" s="33">
        <v>3700000</v>
      </c>
      <c r="H12" s="25" t="s">
        <v>378</v>
      </c>
      <c r="I12" s="26" t="s">
        <v>314</v>
      </c>
      <c r="J12" s="25">
        <v>1</v>
      </c>
    </row>
    <row r="13" spans="1:10" x14ac:dyDescent="0.25">
      <c r="A13" s="32">
        <v>46196</v>
      </c>
      <c r="B13" s="27" t="s">
        <v>298</v>
      </c>
      <c r="C13" s="25" t="s">
        <v>325</v>
      </c>
      <c r="D13" s="25" t="s">
        <v>379</v>
      </c>
      <c r="E13" s="25" t="s">
        <v>297</v>
      </c>
      <c r="F13" s="25" t="s">
        <v>162</v>
      </c>
      <c r="G13" s="35">
        <v>850000</v>
      </c>
      <c r="H13" s="25" t="s">
        <v>380</v>
      </c>
      <c r="I13" s="26" t="s">
        <v>176</v>
      </c>
      <c r="J13" s="25">
        <v>2</v>
      </c>
    </row>
    <row r="14" spans="1:10" x14ac:dyDescent="0.25">
      <c r="A14" s="32">
        <v>46196</v>
      </c>
      <c r="B14" s="27" t="s">
        <v>298</v>
      </c>
      <c r="C14" s="25" t="s">
        <v>325</v>
      </c>
      <c r="D14" s="25" t="s">
        <v>381</v>
      </c>
      <c r="E14" s="25" t="s">
        <v>297</v>
      </c>
      <c r="F14" s="25" t="s">
        <v>162</v>
      </c>
      <c r="G14" s="35">
        <v>500000</v>
      </c>
      <c r="H14" s="25" t="s">
        <v>356</v>
      </c>
      <c r="I14" s="26" t="s">
        <v>133</v>
      </c>
      <c r="J14" s="25">
        <v>2</v>
      </c>
    </row>
    <row r="15" spans="1:10" x14ac:dyDescent="0.25">
      <c r="A15" s="32">
        <v>46196</v>
      </c>
      <c r="B15" s="27" t="s">
        <v>298</v>
      </c>
      <c r="C15" s="25" t="s">
        <v>325</v>
      </c>
      <c r="D15" s="25" t="s">
        <v>382</v>
      </c>
      <c r="E15" s="25" t="s">
        <v>297</v>
      </c>
      <c r="F15" s="25" t="s">
        <v>162</v>
      </c>
      <c r="G15" s="35">
        <v>1200000</v>
      </c>
      <c r="H15" s="25" t="s">
        <v>383</v>
      </c>
      <c r="I15" s="25" t="s">
        <v>156</v>
      </c>
      <c r="J15" s="25"/>
    </row>
    <row r="16" spans="1:10" x14ac:dyDescent="0.25">
      <c r="A16" s="32">
        <v>46196</v>
      </c>
      <c r="B16" s="27" t="s">
        <v>298</v>
      </c>
      <c r="C16" s="25" t="s">
        <v>333</v>
      </c>
      <c r="D16" s="25" t="s">
        <v>384</v>
      </c>
      <c r="E16" s="25" t="s">
        <v>167</v>
      </c>
      <c r="F16" s="25" t="s">
        <v>154</v>
      </c>
      <c r="G16" s="35">
        <v>1814000</v>
      </c>
      <c r="H16" s="25" t="s">
        <v>385</v>
      </c>
      <c r="I16" s="26" t="s">
        <v>281</v>
      </c>
      <c r="J16" s="25">
        <v>1</v>
      </c>
    </row>
    <row r="17" spans="1:10" x14ac:dyDescent="0.25">
      <c r="A17" s="32">
        <v>46198</v>
      </c>
      <c r="B17" s="27" t="s">
        <v>298</v>
      </c>
      <c r="C17" s="25" t="s">
        <v>325</v>
      </c>
      <c r="D17" s="25" t="s">
        <v>386</v>
      </c>
      <c r="E17" s="25" t="s">
        <v>297</v>
      </c>
      <c r="F17" s="25" t="s">
        <v>162</v>
      </c>
      <c r="G17" s="33">
        <v>325000</v>
      </c>
      <c r="H17" s="25" t="s">
        <v>387</v>
      </c>
      <c r="I17" s="26" t="s">
        <v>222</v>
      </c>
      <c r="J17" s="25">
        <v>1</v>
      </c>
    </row>
    <row r="18" spans="1:10" x14ac:dyDescent="0.25">
      <c r="A18" s="32">
        <v>46198</v>
      </c>
      <c r="B18" s="27" t="s">
        <v>298</v>
      </c>
      <c r="C18" s="25" t="s">
        <v>325</v>
      </c>
      <c r="D18" s="25" t="s">
        <v>388</v>
      </c>
      <c r="E18" s="25" t="s">
        <v>297</v>
      </c>
      <c r="F18" s="25" t="s">
        <v>162</v>
      </c>
      <c r="G18" s="33">
        <v>1810000</v>
      </c>
      <c r="H18" s="25" t="s">
        <v>389</v>
      </c>
      <c r="I18" s="26" t="s">
        <v>290</v>
      </c>
      <c r="J18" s="25">
        <v>1</v>
      </c>
    </row>
    <row r="19" spans="1:10" x14ac:dyDescent="0.25">
      <c r="A19" s="32">
        <v>46198</v>
      </c>
      <c r="B19" s="27" t="s">
        <v>298</v>
      </c>
      <c r="C19" s="25" t="s">
        <v>327</v>
      </c>
      <c r="D19" s="25" t="s">
        <v>390</v>
      </c>
      <c r="E19" s="25" t="s">
        <v>297</v>
      </c>
      <c r="F19" s="25" t="s">
        <v>162</v>
      </c>
      <c r="G19" s="33">
        <v>2100000</v>
      </c>
      <c r="H19" s="25" t="s">
        <v>391</v>
      </c>
      <c r="I19" s="26" t="s">
        <v>252</v>
      </c>
      <c r="J19" s="25">
        <v>1</v>
      </c>
    </row>
    <row r="20" spans="1:10" x14ac:dyDescent="0.25">
      <c r="A20" s="32">
        <v>46199</v>
      </c>
      <c r="B20" s="27" t="s">
        <v>298</v>
      </c>
      <c r="C20" s="25" t="s">
        <v>348</v>
      </c>
      <c r="D20" s="25" t="s">
        <v>392</v>
      </c>
      <c r="E20" s="25" t="s">
        <v>167</v>
      </c>
      <c r="F20" s="25" t="s">
        <v>160</v>
      </c>
      <c r="G20" s="33">
        <v>1500000</v>
      </c>
      <c r="H20" s="25" t="s">
        <v>349</v>
      </c>
      <c r="I20" s="25" t="s">
        <v>343</v>
      </c>
      <c r="J20" s="25">
        <v>1</v>
      </c>
    </row>
    <row r="21" spans="1:10" x14ac:dyDescent="0.25">
      <c r="A21" s="32">
        <v>46202</v>
      </c>
      <c r="B21" s="27" t="s">
        <v>298</v>
      </c>
      <c r="C21" s="25" t="s">
        <v>327</v>
      </c>
      <c r="D21" s="25" t="s">
        <v>393</v>
      </c>
      <c r="E21" s="25" t="s">
        <v>297</v>
      </c>
      <c r="F21" s="25" t="s">
        <v>162</v>
      </c>
      <c r="G21" s="33">
        <v>1700000</v>
      </c>
      <c r="H21" s="25" t="s">
        <v>394</v>
      </c>
      <c r="I21" s="26" t="s">
        <v>127</v>
      </c>
      <c r="J21" s="25">
        <v>2</v>
      </c>
    </row>
    <row r="22" spans="1:10" x14ac:dyDescent="0.25">
      <c r="A22" s="32">
        <v>46202</v>
      </c>
      <c r="B22" s="27" t="s">
        <v>298</v>
      </c>
      <c r="C22" s="25" t="s">
        <v>325</v>
      </c>
      <c r="D22" s="25" t="s">
        <v>395</v>
      </c>
      <c r="E22" s="25" t="s">
        <v>297</v>
      </c>
      <c r="F22" s="25" t="s">
        <v>162</v>
      </c>
      <c r="G22" s="33">
        <v>50000</v>
      </c>
      <c r="H22" s="25" t="s">
        <v>396</v>
      </c>
      <c r="I22" s="26" t="s">
        <v>80</v>
      </c>
      <c r="J22" s="25">
        <v>2</v>
      </c>
    </row>
    <row r="23" spans="1:10" x14ac:dyDescent="0.25">
      <c r="A23" s="32">
        <v>46202</v>
      </c>
      <c r="B23" s="27" t="s">
        <v>298</v>
      </c>
      <c r="C23" s="25" t="s">
        <v>397</v>
      </c>
      <c r="D23" s="25" t="s">
        <v>398</v>
      </c>
      <c r="E23" s="25" t="s">
        <v>297</v>
      </c>
      <c r="F23" s="25" t="s">
        <v>399</v>
      </c>
      <c r="G23" s="33">
        <v>1050000</v>
      </c>
      <c r="H23" s="25" t="s">
        <v>400</v>
      </c>
      <c r="I23" s="26" t="s">
        <v>141</v>
      </c>
      <c r="J23" s="25">
        <v>2</v>
      </c>
    </row>
    <row r="24" spans="1:10" x14ac:dyDescent="0.25">
      <c r="A24" s="32">
        <v>46203</v>
      </c>
      <c r="B24" s="27" t="s">
        <v>298</v>
      </c>
      <c r="C24" s="25" t="s">
        <v>325</v>
      </c>
      <c r="D24" s="25" t="s">
        <v>401</v>
      </c>
      <c r="E24" s="25" t="s">
        <v>297</v>
      </c>
      <c r="F24" s="25" t="s">
        <v>162</v>
      </c>
      <c r="G24" s="33">
        <v>200000</v>
      </c>
      <c r="H24" s="25" t="s">
        <v>402</v>
      </c>
      <c r="I24" s="26" t="s">
        <v>263</v>
      </c>
      <c r="J24" s="25">
        <v>1</v>
      </c>
    </row>
    <row r="25" spans="1:10" x14ac:dyDescent="0.25">
      <c r="A25" s="32">
        <v>46204</v>
      </c>
      <c r="B25" s="27" t="s">
        <v>298</v>
      </c>
      <c r="C25" s="25" t="s">
        <v>337</v>
      </c>
      <c r="D25" s="25" t="s">
        <v>403</v>
      </c>
      <c r="E25" s="25" t="s">
        <v>338</v>
      </c>
      <c r="F25" s="25" t="s">
        <v>162</v>
      </c>
      <c r="G25" s="33">
        <v>916000</v>
      </c>
      <c r="H25" s="25" t="s">
        <v>404</v>
      </c>
      <c r="I25" s="26" t="s">
        <v>317</v>
      </c>
      <c r="J25" s="25">
        <v>1</v>
      </c>
    </row>
    <row r="26" spans="1:10" x14ac:dyDescent="0.25">
      <c r="A26" s="32">
        <v>46205</v>
      </c>
      <c r="B26" s="27" t="s">
        <v>298</v>
      </c>
      <c r="C26" s="25" t="s">
        <v>325</v>
      </c>
      <c r="D26" s="25" t="s">
        <v>405</v>
      </c>
      <c r="E26" s="25" t="s">
        <v>297</v>
      </c>
      <c r="F26" s="25" t="s">
        <v>162</v>
      </c>
      <c r="G26" s="33">
        <v>2000000</v>
      </c>
      <c r="H26" s="25" t="s">
        <v>406</v>
      </c>
      <c r="I26" s="26" t="s">
        <v>238</v>
      </c>
      <c r="J26" s="25">
        <v>1</v>
      </c>
    </row>
    <row r="27" spans="1:10" x14ac:dyDescent="0.25">
      <c r="A27" s="32">
        <v>46205</v>
      </c>
      <c r="B27" s="27" t="s">
        <v>298</v>
      </c>
      <c r="C27" s="25" t="s">
        <v>325</v>
      </c>
      <c r="D27" s="25" t="s">
        <v>407</v>
      </c>
      <c r="E27" s="25" t="s">
        <v>297</v>
      </c>
      <c r="F27" s="25" t="s">
        <v>162</v>
      </c>
      <c r="G27" s="33">
        <v>850000</v>
      </c>
      <c r="H27" s="25" t="s">
        <v>408</v>
      </c>
      <c r="I27" s="26" t="s">
        <v>172</v>
      </c>
      <c r="J27" s="25">
        <v>2</v>
      </c>
    </row>
    <row r="28" spans="1:10" x14ac:dyDescent="0.25">
      <c r="A28" s="32">
        <v>46205</v>
      </c>
      <c r="B28" s="27" t="s">
        <v>298</v>
      </c>
      <c r="C28" s="25" t="s">
        <v>325</v>
      </c>
      <c r="D28" s="25" t="s">
        <v>409</v>
      </c>
      <c r="E28" s="25" t="s">
        <v>297</v>
      </c>
      <c r="F28" s="25" t="s">
        <v>162</v>
      </c>
      <c r="G28" s="33">
        <v>800000</v>
      </c>
      <c r="H28" s="25" t="s">
        <v>410</v>
      </c>
      <c r="I28" s="26" t="s">
        <v>318</v>
      </c>
      <c r="J28" s="25">
        <v>1</v>
      </c>
    </row>
    <row r="29" spans="1:10" x14ac:dyDescent="0.25">
      <c r="A29" s="32">
        <v>46206</v>
      </c>
      <c r="B29" s="27" t="s">
        <v>298</v>
      </c>
      <c r="C29" s="25" t="s">
        <v>325</v>
      </c>
      <c r="D29" s="25" t="s">
        <v>411</v>
      </c>
      <c r="E29" s="25" t="s">
        <v>297</v>
      </c>
      <c r="F29" s="25" t="s">
        <v>162</v>
      </c>
      <c r="G29" s="33">
        <v>48000</v>
      </c>
      <c r="H29" s="25" t="s">
        <v>412</v>
      </c>
      <c r="I29" s="26" t="s">
        <v>262</v>
      </c>
      <c r="J29" s="25">
        <v>1</v>
      </c>
    </row>
    <row r="30" spans="1:10" x14ac:dyDescent="0.25">
      <c r="A30" s="32">
        <v>46206</v>
      </c>
      <c r="B30" s="27" t="s">
        <v>298</v>
      </c>
      <c r="C30" s="25" t="s">
        <v>325</v>
      </c>
      <c r="D30" s="25" t="s">
        <v>413</v>
      </c>
      <c r="E30" s="25" t="s">
        <v>297</v>
      </c>
      <c r="F30" s="25" t="s">
        <v>162</v>
      </c>
      <c r="G30" s="33">
        <v>1582000</v>
      </c>
      <c r="H30" s="25" t="s">
        <v>414</v>
      </c>
      <c r="I30" s="26" t="s">
        <v>227</v>
      </c>
      <c r="J30" s="25">
        <v>1</v>
      </c>
    </row>
    <row r="31" spans="1:10" x14ac:dyDescent="0.25">
      <c r="A31" s="32">
        <v>46206</v>
      </c>
      <c r="B31" s="27" t="s">
        <v>298</v>
      </c>
      <c r="C31" s="25" t="s">
        <v>325</v>
      </c>
      <c r="D31" s="25" t="s">
        <v>415</v>
      </c>
      <c r="E31" s="25" t="s">
        <v>297</v>
      </c>
      <c r="F31" s="25" t="s">
        <v>162</v>
      </c>
      <c r="G31" s="33">
        <v>3500000</v>
      </c>
      <c r="H31" s="25" t="s">
        <v>416</v>
      </c>
      <c r="I31" s="26" t="s">
        <v>209</v>
      </c>
      <c r="J31" s="25">
        <v>2</v>
      </c>
    </row>
    <row r="32" spans="1:10" x14ac:dyDescent="0.25">
      <c r="A32" s="32">
        <v>46206</v>
      </c>
      <c r="B32" s="27" t="s">
        <v>298</v>
      </c>
      <c r="C32" s="25" t="s">
        <v>325</v>
      </c>
      <c r="D32" s="25" t="s">
        <v>417</v>
      </c>
      <c r="E32" s="25" t="s">
        <v>297</v>
      </c>
      <c r="F32" s="25" t="s">
        <v>162</v>
      </c>
      <c r="G32" s="33">
        <v>1000000</v>
      </c>
      <c r="H32" s="25" t="s">
        <v>418</v>
      </c>
      <c r="I32" s="26" t="s">
        <v>218</v>
      </c>
      <c r="J32" s="25">
        <v>1</v>
      </c>
    </row>
    <row r="33" spans="1:10" x14ac:dyDescent="0.25">
      <c r="A33" s="32">
        <v>46206</v>
      </c>
      <c r="B33" s="27" t="s">
        <v>298</v>
      </c>
      <c r="C33" s="25" t="s">
        <v>327</v>
      </c>
      <c r="D33" s="25" t="s">
        <v>419</v>
      </c>
      <c r="E33" s="25" t="s">
        <v>297</v>
      </c>
      <c r="F33" s="25" t="s">
        <v>162</v>
      </c>
      <c r="G33" s="33">
        <v>1850000</v>
      </c>
      <c r="H33" s="25" t="s">
        <v>420</v>
      </c>
      <c r="I33" s="26" t="s">
        <v>279</v>
      </c>
      <c r="J33" s="25">
        <v>1</v>
      </c>
    </row>
    <row r="34" spans="1:10" x14ac:dyDescent="0.25">
      <c r="A34" s="32">
        <v>46206</v>
      </c>
      <c r="B34" s="27" t="s">
        <v>298</v>
      </c>
      <c r="C34" s="25" t="s">
        <v>325</v>
      </c>
      <c r="D34" s="25" t="s">
        <v>421</v>
      </c>
      <c r="E34" s="25" t="s">
        <v>297</v>
      </c>
      <c r="F34" s="25" t="s">
        <v>162</v>
      </c>
      <c r="G34" s="33">
        <v>1000000</v>
      </c>
      <c r="H34" s="25" t="s">
        <v>422</v>
      </c>
      <c r="I34" s="26" t="s">
        <v>203</v>
      </c>
      <c r="J34" s="25">
        <v>1</v>
      </c>
    </row>
    <row r="35" spans="1:10" x14ac:dyDescent="0.25">
      <c r="A35" s="32">
        <v>46206</v>
      </c>
      <c r="B35" s="27" t="s">
        <v>298</v>
      </c>
      <c r="C35" s="25" t="s">
        <v>423</v>
      </c>
      <c r="D35" s="25" t="s">
        <v>424</v>
      </c>
      <c r="E35" s="25" t="s">
        <v>167</v>
      </c>
      <c r="F35" s="25" t="s">
        <v>163</v>
      </c>
      <c r="G35" s="33">
        <v>1275000</v>
      </c>
      <c r="H35" s="25" t="s">
        <v>425</v>
      </c>
      <c r="I35" s="25" t="s">
        <v>156</v>
      </c>
      <c r="J35" s="25"/>
    </row>
    <row r="36" spans="1:10" x14ac:dyDescent="0.25">
      <c r="A36" s="32">
        <v>46206</v>
      </c>
      <c r="B36" s="27" t="s">
        <v>298</v>
      </c>
      <c r="C36" s="25" t="s">
        <v>325</v>
      </c>
      <c r="D36" s="25" t="s">
        <v>426</v>
      </c>
      <c r="E36" s="25" t="s">
        <v>297</v>
      </c>
      <c r="F36" s="25" t="s">
        <v>162</v>
      </c>
      <c r="G36" s="33">
        <v>105000</v>
      </c>
      <c r="H36" s="25" t="s">
        <v>427</v>
      </c>
      <c r="I36" s="26" t="s">
        <v>253</v>
      </c>
      <c r="J36" s="25">
        <v>1</v>
      </c>
    </row>
    <row r="37" spans="1:10" x14ac:dyDescent="0.25">
      <c r="A37" s="32">
        <v>46206</v>
      </c>
      <c r="B37" s="27" t="s">
        <v>298</v>
      </c>
      <c r="C37" s="25" t="s">
        <v>325</v>
      </c>
      <c r="D37" s="25" t="s">
        <v>428</v>
      </c>
      <c r="E37" s="25" t="s">
        <v>297</v>
      </c>
      <c r="F37" s="25" t="s">
        <v>162</v>
      </c>
      <c r="G37" s="33">
        <v>5420000</v>
      </c>
      <c r="H37" s="25" t="s">
        <v>429</v>
      </c>
      <c r="I37" s="26" t="s">
        <v>306</v>
      </c>
      <c r="J37" s="25">
        <v>1</v>
      </c>
    </row>
    <row r="38" spans="1:10" x14ac:dyDescent="0.25">
      <c r="A38" s="32">
        <v>46209</v>
      </c>
      <c r="B38" s="27" t="s">
        <v>298</v>
      </c>
      <c r="C38" s="25" t="s">
        <v>325</v>
      </c>
      <c r="D38" s="25" t="s">
        <v>430</v>
      </c>
      <c r="E38" s="25" t="s">
        <v>297</v>
      </c>
      <c r="F38" s="25" t="s">
        <v>162</v>
      </c>
      <c r="G38" s="33">
        <v>800000</v>
      </c>
      <c r="H38" s="25" t="s">
        <v>431</v>
      </c>
      <c r="I38" s="26" t="s">
        <v>203</v>
      </c>
      <c r="J38" s="25">
        <v>1</v>
      </c>
    </row>
    <row r="39" spans="1:10" x14ac:dyDescent="0.25">
      <c r="A39" s="32">
        <v>46209</v>
      </c>
      <c r="B39" s="27" t="s">
        <v>298</v>
      </c>
      <c r="C39" s="25" t="s">
        <v>325</v>
      </c>
      <c r="D39" s="25" t="s">
        <v>432</v>
      </c>
      <c r="E39" s="25" t="s">
        <v>297</v>
      </c>
      <c r="F39" s="25" t="s">
        <v>162</v>
      </c>
      <c r="G39" s="33">
        <v>1000000</v>
      </c>
      <c r="H39" s="25" t="s">
        <v>433</v>
      </c>
      <c r="I39" s="26" t="s">
        <v>175</v>
      </c>
      <c r="J39" s="25">
        <v>2</v>
      </c>
    </row>
    <row r="40" spans="1:10" x14ac:dyDescent="0.25">
      <c r="A40" s="32">
        <v>46209</v>
      </c>
      <c r="B40" s="27" t="s">
        <v>298</v>
      </c>
      <c r="C40" s="25" t="s">
        <v>327</v>
      </c>
      <c r="D40" s="25" t="s">
        <v>434</v>
      </c>
      <c r="E40" s="25" t="s">
        <v>297</v>
      </c>
      <c r="F40" s="25" t="s">
        <v>162</v>
      </c>
      <c r="G40" s="33">
        <v>2000000</v>
      </c>
      <c r="H40" s="25" t="s">
        <v>353</v>
      </c>
      <c r="I40" s="26" t="s">
        <v>215</v>
      </c>
      <c r="J40" s="25">
        <v>1</v>
      </c>
    </row>
    <row r="41" spans="1:10" x14ac:dyDescent="0.25">
      <c r="A41" s="32">
        <v>46209</v>
      </c>
      <c r="B41" s="27" t="s">
        <v>298</v>
      </c>
      <c r="C41" s="25" t="s">
        <v>325</v>
      </c>
      <c r="D41" s="25" t="s">
        <v>435</v>
      </c>
      <c r="E41" s="25" t="s">
        <v>297</v>
      </c>
      <c r="F41" s="25" t="s">
        <v>162</v>
      </c>
      <c r="G41" s="33">
        <v>1200000</v>
      </c>
      <c r="H41" s="25" t="s">
        <v>436</v>
      </c>
      <c r="I41" s="26" t="s">
        <v>302</v>
      </c>
      <c r="J41" s="25">
        <v>1</v>
      </c>
    </row>
    <row r="42" spans="1:10" x14ac:dyDescent="0.25">
      <c r="A42" s="32">
        <v>46209</v>
      </c>
      <c r="B42" s="27" t="s">
        <v>298</v>
      </c>
      <c r="C42" s="25" t="s">
        <v>331</v>
      </c>
      <c r="D42" s="25" t="s">
        <v>437</v>
      </c>
      <c r="E42" s="25" t="s">
        <v>297</v>
      </c>
      <c r="F42" s="25" t="s">
        <v>162</v>
      </c>
      <c r="G42" s="33">
        <v>1100000</v>
      </c>
      <c r="H42" s="25" t="s">
        <v>438</v>
      </c>
      <c r="I42" s="26" t="s">
        <v>228</v>
      </c>
      <c r="J42" s="25">
        <v>1</v>
      </c>
    </row>
    <row r="43" spans="1:10" x14ac:dyDescent="0.25">
      <c r="A43" s="32">
        <v>46209</v>
      </c>
      <c r="B43" s="27" t="s">
        <v>298</v>
      </c>
      <c r="C43" s="25" t="s">
        <v>327</v>
      </c>
      <c r="D43" s="25" t="s">
        <v>439</v>
      </c>
      <c r="E43" s="25" t="s">
        <v>297</v>
      </c>
      <c r="F43" s="25" t="s">
        <v>162</v>
      </c>
      <c r="G43" s="33">
        <v>3500000</v>
      </c>
      <c r="H43" s="25" t="s">
        <v>440</v>
      </c>
      <c r="I43" s="26" t="s">
        <v>244</v>
      </c>
      <c r="J43" s="25">
        <v>1</v>
      </c>
    </row>
    <row r="44" spans="1:10" x14ac:dyDescent="0.25">
      <c r="A44" s="32">
        <v>46209</v>
      </c>
      <c r="B44" s="27" t="s">
        <v>298</v>
      </c>
      <c r="C44" s="25" t="s">
        <v>325</v>
      </c>
      <c r="D44" s="25" t="s">
        <v>441</v>
      </c>
      <c r="E44" s="25" t="s">
        <v>297</v>
      </c>
      <c r="F44" s="25" t="s">
        <v>162</v>
      </c>
      <c r="G44" s="33">
        <v>863000</v>
      </c>
      <c r="H44" s="25" t="s">
        <v>353</v>
      </c>
      <c r="I44" s="26" t="s">
        <v>215</v>
      </c>
      <c r="J44" s="25">
        <v>1</v>
      </c>
    </row>
    <row r="45" spans="1:10" x14ac:dyDescent="0.25">
      <c r="A45" s="32">
        <v>46209</v>
      </c>
      <c r="B45" s="27" t="s">
        <v>298</v>
      </c>
      <c r="C45" s="25" t="s">
        <v>355</v>
      </c>
      <c r="D45" s="25" t="s">
        <v>442</v>
      </c>
      <c r="E45" s="25" t="s">
        <v>297</v>
      </c>
      <c r="F45" s="25" t="s">
        <v>159</v>
      </c>
      <c r="G45" s="33">
        <v>1700000</v>
      </c>
      <c r="H45" s="25" t="s">
        <v>443</v>
      </c>
      <c r="I45" s="26" t="s">
        <v>105</v>
      </c>
      <c r="J45" s="25">
        <v>2</v>
      </c>
    </row>
    <row r="46" spans="1:10" x14ac:dyDescent="0.25">
      <c r="A46" s="32">
        <v>46209</v>
      </c>
      <c r="B46" s="27" t="s">
        <v>298</v>
      </c>
      <c r="C46" s="25" t="s">
        <v>325</v>
      </c>
      <c r="D46" s="25" t="s">
        <v>444</v>
      </c>
      <c r="E46" s="25" t="s">
        <v>297</v>
      </c>
      <c r="F46" s="25" t="s">
        <v>162</v>
      </c>
      <c r="G46" s="33">
        <v>700000</v>
      </c>
      <c r="H46" s="25" t="s">
        <v>445</v>
      </c>
      <c r="I46" s="26" t="s">
        <v>228</v>
      </c>
      <c r="J46" s="25">
        <v>1</v>
      </c>
    </row>
    <row r="47" spans="1:10" x14ac:dyDescent="0.25">
      <c r="A47" s="32">
        <v>46210</v>
      </c>
      <c r="B47" s="27" t="s">
        <v>298</v>
      </c>
      <c r="C47" s="25" t="s">
        <v>337</v>
      </c>
      <c r="D47" s="25" t="s">
        <v>446</v>
      </c>
      <c r="E47" s="25" t="s">
        <v>338</v>
      </c>
      <c r="F47" s="25" t="s">
        <v>162</v>
      </c>
      <c r="G47" s="33">
        <v>1500000</v>
      </c>
      <c r="H47" s="25" t="s">
        <v>447</v>
      </c>
      <c r="I47" s="25" t="s">
        <v>343</v>
      </c>
      <c r="J47" s="25">
        <v>1</v>
      </c>
    </row>
    <row r="48" spans="1:10" x14ac:dyDescent="0.25">
      <c r="A48" s="32">
        <v>46210</v>
      </c>
      <c r="B48" s="27" t="s">
        <v>298</v>
      </c>
      <c r="C48" s="25" t="s">
        <v>325</v>
      </c>
      <c r="D48" s="25" t="s">
        <v>448</v>
      </c>
      <c r="E48" s="25" t="s">
        <v>297</v>
      </c>
      <c r="F48" s="25" t="s">
        <v>162</v>
      </c>
      <c r="G48" s="33">
        <v>1275000</v>
      </c>
      <c r="H48" s="25" t="s">
        <v>449</v>
      </c>
      <c r="I48" s="25" t="s">
        <v>156</v>
      </c>
      <c r="J48" s="25"/>
    </row>
    <row r="49" spans="1:10" x14ac:dyDescent="0.25">
      <c r="A49" s="32">
        <v>46210</v>
      </c>
      <c r="B49" s="27" t="s">
        <v>298</v>
      </c>
      <c r="C49" s="25" t="s">
        <v>325</v>
      </c>
      <c r="D49" s="25" t="s">
        <v>450</v>
      </c>
      <c r="E49" s="25" t="s">
        <v>297</v>
      </c>
      <c r="F49" s="25" t="s">
        <v>162</v>
      </c>
      <c r="G49" s="33">
        <v>900000</v>
      </c>
      <c r="H49" s="25" t="s">
        <v>451</v>
      </c>
      <c r="I49" s="26" t="s">
        <v>180</v>
      </c>
      <c r="J49" s="25">
        <v>2</v>
      </c>
    </row>
    <row r="50" spans="1:10" x14ac:dyDescent="0.25">
      <c r="A50" s="32">
        <v>46210</v>
      </c>
      <c r="B50" s="27" t="s">
        <v>298</v>
      </c>
      <c r="C50" s="25" t="s">
        <v>325</v>
      </c>
      <c r="D50" s="25" t="s">
        <v>452</v>
      </c>
      <c r="E50" s="25" t="s">
        <v>297</v>
      </c>
      <c r="F50" s="25" t="s">
        <v>162</v>
      </c>
      <c r="G50" s="33">
        <v>900000</v>
      </c>
      <c r="H50" s="25" t="s">
        <v>453</v>
      </c>
      <c r="I50" s="26" t="s">
        <v>179</v>
      </c>
      <c r="J50" s="25">
        <v>2</v>
      </c>
    </row>
    <row r="51" spans="1:10" x14ac:dyDescent="0.25">
      <c r="A51" s="32">
        <v>46210</v>
      </c>
      <c r="B51" s="27" t="s">
        <v>298</v>
      </c>
      <c r="C51" s="25" t="s">
        <v>327</v>
      </c>
      <c r="D51" s="25" t="s">
        <v>454</v>
      </c>
      <c r="E51" s="25" t="s">
        <v>297</v>
      </c>
      <c r="F51" s="25" t="s">
        <v>162</v>
      </c>
      <c r="G51" s="33">
        <v>375000</v>
      </c>
      <c r="H51" s="25" t="s">
        <v>455</v>
      </c>
      <c r="I51" s="26" t="s">
        <v>279</v>
      </c>
      <c r="J51" s="25">
        <v>1</v>
      </c>
    </row>
    <row r="52" spans="1:10" x14ac:dyDescent="0.25">
      <c r="A52" s="32">
        <v>46211</v>
      </c>
      <c r="B52" s="27" t="s">
        <v>298</v>
      </c>
      <c r="C52" s="25" t="s">
        <v>325</v>
      </c>
      <c r="D52" s="25" t="s">
        <v>456</v>
      </c>
      <c r="E52" s="25" t="s">
        <v>297</v>
      </c>
      <c r="F52" s="25" t="s">
        <v>162</v>
      </c>
      <c r="G52" s="33">
        <v>1000000</v>
      </c>
      <c r="H52" s="25" t="s">
        <v>457</v>
      </c>
      <c r="I52" s="25" t="s">
        <v>156</v>
      </c>
      <c r="J52" s="25"/>
    </row>
    <row r="53" spans="1:10" x14ac:dyDescent="0.25">
      <c r="A53" s="32">
        <v>46211</v>
      </c>
      <c r="B53" s="27" t="s">
        <v>298</v>
      </c>
      <c r="C53" s="25" t="s">
        <v>325</v>
      </c>
      <c r="D53" s="25" t="s">
        <v>458</v>
      </c>
      <c r="E53" s="25" t="s">
        <v>297</v>
      </c>
      <c r="F53" s="25" t="s">
        <v>162</v>
      </c>
      <c r="G53" s="33">
        <v>2400000</v>
      </c>
      <c r="H53" s="25" t="s">
        <v>459</v>
      </c>
      <c r="I53" s="26" t="s">
        <v>173</v>
      </c>
      <c r="J53" s="25">
        <v>2</v>
      </c>
    </row>
    <row r="54" spans="1:10" x14ac:dyDescent="0.25">
      <c r="A54" s="32">
        <v>46212</v>
      </c>
      <c r="B54" s="27" t="s">
        <v>298</v>
      </c>
      <c r="C54" s="25" t="s">
        <v>337</v>
      </c>
      <c r="D54" s="25" t="s">
        <v>460</v>
      </c>
      <c r="E54" s="25" t="s">
        <v>338</v>
      </c>
      <c r="F54" s="25" t="s">
        <v>162</v>
      </c>
      <c r="G54" s="33">
        <v>277000</v>
      </c>
      <c r="H54" s="25" t="s">
        <v>461</v>
      </c>
      <c r="I54" s="26" t="s">
        <v>305</v>
      </c>
      <c r="J54" s="25">
        <v>1</v>
      </c>
    </row>
    <row r="55" spans="1:10" x14ac:dyDescent="0.25">
      <c r="A55" s="32">
        <v>46212</v>
      </c>
      <c r="B55" s="27" t="s">
        <v>298</v>
      </c>
      <c r="C55" s="25" t="s">
        <v>325</v>
      </c>
      <c r="D55" s="25" t="s">
        <v>462</v>
      </c>
      <c r="E55" s="25" t="s">
        <v>297</v>
      </c>
      <c r="F55" s="25" t="s">
        <v>162</v>
      </c>
      <c r="G55" s="33">
        <v>110000</v>
      </c>
      <c r="H55" s="25" t="s">
        <v>463</v>
      </c>
      <c r="I55" s="26" t="s">
        <v>313</v>
      </c>
      <c r="J55" s="25">
        <v>1</v>
      </c>
    </row>
    <row r="56" spans="1:10" x14ac:dyDescent="0.25">
      <c r="A56" s="32">
        <v>46212</v>
      </c>
      <c r="B56" s="27" t="s">
        <v>298</v>
      </c>
      <c r="C56" s="25" t="s">
        <v>327</v>
      </c>
      <c r="D56" s="25" t="s">
        <v>464</v>
      </c>
      <c r="E56" s="25" t="s">
        <v>297</v>
      </c>
      <c r="F56" s="25" t="s">
        <v>162</v>
      </c>
      <c r="G56" s="33">
        <v>3500000</v>
      </c>
      <c r="H56" s="25" t="s">
        <v>465</v>
      </c>
      <c r="I56" s="25" t="s">
        <v>319</v>
      </c>
      <c r="J56" s="25">
        <v>1</v>
      </c>
    </row>
    <row r="57" spans="1:10" x14ac:dyDescent="0.25">
      <c r="A57" s="32">
        <v>46213</v>
      </c>
      <c r="B57" s="27" t="s">
        <v>298</v>
      </c>
      <c r="C57" s="25" t="s">
        <v>327</v>
      </c>
      <c r="D57" s="25" t="s">
        <v>466</v>
      </c>
      <c r="E57" s="25" t="s">
        <v>297</v>
      </c>
      <c r="F57" s="25" t="s">
        <v>162</v>
      </c>
      <c r="G57" s="33">
        <v>1000000</v>
      </c>
      <c r="H57" s="25" t="s">
        <v>467</v>
      </c>
      <c r="I57" s="25" t="s">
        <v>156</v>
      </c>
      <c r="J57" s="25"/>
    </row>
    <row r="58" spans="1:10" x14ac:dyDescent="0.25">
      <c r="A58" s="32">
        <v>46213</v>
      </c>
      <c r="B58" s="27" t="s">
        <v>298</v>
      </c>
      <c r="C58" s="25" t="s">
        <v>325</v>
      </c>
      <c r="D58" s="25" t="s">
        <v>468</v>
      </c>
      <c r="E58" s="25" t="s">
        <v>297</v>
      </c>
      <c r="F58" s="25" t="s">
        <v>162</v>
      </c>
      <c r="G58" s="33">
        <v>2400000</v>
      </c>
      <c r="H58" s="25" t="s">
        <v>469</v>
      </c>
      <c r="I58" s="26" t="s">
        <v>113</v>
      </c>
      <c r="J58" s="25">
        <v>2</v>
      </c>
    </row>
    <row r="59" spans="1:10" x14ac:dyDescent="0.25">
      <c r="A59" s="32">
        <v>46216</v>
      </c>
      <c r="B59" s="27" t="s">
        <v>298</v>
      </c>
      <c r="C59" s="25" t="s">
        <v>337</v>
      </c>
      <c r="D59" s="25" t="s">
        <v>470</v>
      </c>
      <c r="E59" s="25" t="s">
        <v>338</v>
      </c>
      <c r="F59" s="25" t="s">
        <v>162</v>
      </c>
      <c r="G59" s="33">
        <v>100000</v>
      </c>
      <c r="H59" s="25" t="s">
        <v>471</v>
      </c>
      <c r="I59" s="25" t="s">
        <v>341</v>
      </c>
      <c r="J59" s="25">
        <v>1</v>
      </c>
    </row>
    <row r="60" spans="1:10" x14ac:dyDescent="0.25">
      <c r="A60" s="32">
        <v>46216</v>
      </c>
      <c r="B60" s="27" t="s">
        <v>298</v>
      </c>
      <c r="C60" s="25" t="s">
        <v>331</v>
      </c>
      <c r="D60" s="25" t="s">
        <v>472</v>
      </c>
      <c r="E60" s="25" t="s">
        <v>297</v>
      </c>
      <c r="F60" s="25" t="s">
        <v>162</v>
      </c>
      <c r="G60" s="33">
        <v>1200000</v>
      </c>
      <c r="H60" s="25" t="s">
        <v>473</v>
      </c>
      <c r="I60" s="34" t="s">
        <v>322</v>
      </c>
      <c r="J60" s="25">
        <v>1</v>
      </c>
    </row>
    <row r="61" spans="1:10" x14ac:dyDescent="0.25">
      <c r="A61" s="32">
        <v>46216</v>
      </c>
      <c r="B61" s="27" t="s">
        <v>298</v>
      </c>
      <c r="C61" s="25" t="s">
        <v>325</v>
      </c>
      <c r="D61" s="25" t="s">
        <v>474</v>
      </c>
      <c r="E61" s="25" t="s">
        <v>297</v>
      </c>
      <c r="F61" s="25" t="s">
        <v>162</v>
      </c>
      <c r="G61" s="33">
        <v>950000</v>
      </c>
      <c r="H61" s="25" t="s">
        <v>475</v>
      </c>
      <c r="I61" s="26" t="s">
        <v>230</v>
      </c>
      <c r="J61" s="25">
        <v>1</v>
      </c>
    </row>
    <row r="62" spans="1:10" x14ac:dyDescent="0.25">
      <c r="A62" s="32">
        <v>46217</v>
      </c>
      <c r="B62" s="27" t="s">
        <v>298</v>
      </c>
      <c r="C62" s="25" t="s">
        <v>326</v>
      </c>
      <c r="D62" s="25" t="s">
        <v>476</v>
      </c>
      <c r="E62" s="25" t="s">
        <v>297</v>
      </c>
      <c r="F62" s="25" t="s">
        <v>161</v>
      </c>
      <c r="G62" s="33">
        <v>1802000</v>
      </c>
      <c r="H62" s="25" t="s">
        <v>477</v>
      </c>
      <c r="I62" s="26" t="s">
        <v>255</v>
      </c>
      <c r="J62" s="25">
        <v>1</v>
      </c>
    </row>
    <row r="63" spans="1:10" x14ac:dyDescent="0.25">
      <c r="A63" s="32">
        <v>46217</v>
      </c>
      <c r="B63" s="27" t="s">
        <v>298</v>
      </c>
      <c r="C63" s="25" t="s">
        <v>325</v>
      </c>
      <c r="D63" s="25" t="s">
        <v>478</v>
      </c>
      <c r="E63" s="25" t="s">
        <v>297</v>
      </c>
      <c r="F63" s="25" t="s">
        <v>162</v>
      </c>
      <c r="G63" s="33">
        <v>2025000</v>
      </c>
      <c r="H63" s="25" t="s">
        <v>479</v>
      </c>
      <c r="I63" s="26" t="s">
        <v>118</v>
      </c>
      <c r="J63" s="25">
        <v>2</v>
      </c>
    </row>
    <row r="64" spans="1:10" x14ac:dyDescent="0.25">
      <c r="A64" s="32">
        <v>46217</v>
      </c>
      <c r="B64" s="27" t="s">
        <v>298</v>
      </c>
      <c r="C64" s="25" t="s">
        <v>326</v>
      </c>
      <c r="D64" s="25" t="s">
        <v>480</v>
      </c>
      <c r="E64" s="25" t="s">
        <v>297</v>
      </c>
      <c r="F64" s="25" t="s">
        <v>161</v>
      </c>
      <c r="G64" s="33">
        <v>3610000</v>
      </c>
      <c r="H64" s="25" t="s">
        <v>481</v>
      </c>
      <c r="I64" s="26" t="s">
        <v>312</v>
      </c>
      <c r="J64" s="25">
        <v>1</v>
      </c>
    </row>
    <row r="65" spans="1:10" x14ac:dyDescent="0.25">
      <c r="A65" s="32">
        <v>46218</v>
      </c>
      <c r="B65" s="27" t="s">
        <v>298</v>
      </c>
      <c r="C65" s="25" t="s">
        <v>325</v>
      </c>
      <c r="D65" s="25" t="s">
        <v>482</v>
      </c>
      <c r="E65" s="25" t="s">
        <v>297</v>
      </c>
      <c r="F65" s="25" t="s">
        <v>162</v>
      </c>
      <c r="G65" s="33">
        <v>1700000</v>
      </c>
      <c r="H65" s="25" t="s">
        <v>483</v>
      </c>
      <c r="I65" s="26" t="s">
        <v>106</v>
      </c>
      <c r="J65" s="25">
        <v>2</v>
      </c>
    </row>
    <row r="66" spans="1:10" x14ac:dyDescent="0.25">
      <c r="A66" s="32">
        <v>46218</v>
      </c>
      <c r="B66" s="27" t="s">
        <v>298</v>
      </c>
      <c r="C66" s="25" t="s">
        <v>324</v>
      </c>
      <c r="D66" s="25" t="s">
        <v>484</v>
      </c>
      <c r="E66" s="25" t="s">
        <v>297</v>
      </c>
      <c r="F66" s="25" t="s">
        <v>162</v>
      </c>
      <c r="G66" s="33">
        <v>1310000</v>
      </c>
      <c r="H66" s="25" t="s">
        <v>485</v>
      </c>
      <c r="I66" s="25" t="s">
        <v>339</v>
      </c>
      <c r="J66" s="25">
        <v>1</v>
      </c>
    </row>
    <row r="67" spans="1:10" x14ac:dyDescent="0.25">
      <c r="A67" s="32">
        <v>46218</v>
      </c>
      <c r="B67" s="27" t="s">
        <v>298</v>
      </c>
      <c r="C67" s="25" t="s">
        <v>325</v>
      </c>
      <c r="D67" s="25" t="s">
        <v>486</v>
      </c>
      <c r="E67" s="25" t="s">
        <v>297</v>
      </c>
      <c r="F67" s="25" t="s">
        <v>162</v>
      </c>
      <c r="G67" s="33">
        <v>130000</v>
      </c>
      <c r="H67" s="25" t="s">
        <v>487</v>
      </c>
      <c r="I67" s="26" t="s">
        <v>95</v>
      </c>
      <c r="J67" s="25">
        <v>2</v>
      </c>
    </row>
    <row r="68" spans="1:10" x14ac:dyDescent="0.25">
      <c r="A68" s="32">
        <v>46218</v>
      </c>
      <c r="B68" s="27" t="s">
        <v>298</v>
      </c>
      <c r="C68" s="25" t="s">
        <v>325</v>
      </c>
      <c r="D68" s="25" t="s">
        <v>488</v>
      </c>
      <c r="E68" s="25" t="s">
        <v>297</v>
      </c>
      <c r="F68" s="25" t="s">
        <v>162</v>
      </c>
      <c r="G68" s="33">
        <v>600000</v>
      </c>
      <c r="H68" s="25" t="s">
        <v>489</v>
      </c>
      <c r="I68" s="26" t="s">
        <v>116</v>
      </c>
      <c r="J68" s="25">
        <v>2</v>
      </c>
    </row>
    <row r="69" spans="1:10" x14ac:dyDescent="0.25">
      <c r="A69" s="32">
        <v>46219</v>
      </c>
      <c r="B69" s="27" t="s">
        <v>298</v>
      </c>
      <c r="C69" s="25" t="s">
        <v>325</v>
      </c>
      <c r="D69" s="25" t="s">
        <v>490</v>
      </c>
      <c r="E69" s="25" t="s">
        <v>297</v>
      </c>
      <c r="F69" s="25" t="s">
        <v>162</v>
      </c>
      <c r="G69" s="33">
        <v>1204000</v>
      </c>
      <c r="H69" s="25" t="s">
        <v>491</v>
      </c>
      <c r="I69" s="26" t="s">
        <v>147</v>
      </c>
      <c r="J69" s="25">
        <v>2</v>
      </c>
    </row>
    <row r="70" spans="1:10" x14ac:dyDescent="0.25">
      <c r="A70" s="32">
        <v>46223</v>
      </c>
      <c r="B70" s="27" t="s">
        <v>298</v>
      </c>
      <c r="C70" s="25" t="s">
        <v>335</v>
      </c>
      <c r="D70" s="25" t="s">
        <v>492</v>
      </c>
      <c r="E70" s="25" t="s">
        <v>167</v>
      </c>
      <c r="F70" s="25" t="s">
        <v>160</v>
      </c>
      <c r="G70" s="33">
        <v>1700000</v>
      </c>
      <c r="H70" s="25" t="s">
        <v>493</v>
      </c>
      <c r="I70" s="26" t="s">
        <v>109</v>
      </c>
      <c r="J70" s="25">
        <v>2</v>
      </c>
    </row>
    <row r="71" spans="1:10" x14ac:dyDescent="0.25">
      <c r="A71" s="32">
        <v>46223</v>
      </c>
      <c r="B71" s="27" t="s">
        <v>298</v>
      </c>
      <c r="C71" s="25" t="s">
        <v>327</v>
      </c>
      <c r="D71" s="25" t="s">
        <v>494</v>
      </c>
      <c r="E71" s="25" t="s">
        <v>297</v>
      </c>
      <c r="F71" s="25" t="s">
        <v>162</v>
      </c>
      <c r="G71" s="33">
        <v>1300000</v>
      </c>
      <c r="H71" s="25" t="s">
        <v>495</v>
      </c>
      <c r="I71" s="26" t="s">
        <v>241</v>
      </c>
      <c r="J71" s="26">
        <v>1</v>
      </c>
    </row>
    <row r="72" spans="1:10" x14ac:dyDescent="0.25">
      <c r="A72" s="32">
        <v>46223</v>
      </c>
      <c r="B72" s="27" t="s">
        <v>298</v>
      </c>
      <c r="C72" s="25" t="s">
        <v>325</v>
      </c>
      <c r="D72" s="25" t="s">
        <v>496</v>
      </c>
      <c r="E72" s="25" t="s">
        <v>297</v>
      </c>
      <c r="F72" s="25" t="s">
        <v>162</v>
      </c>
      <c r="G72" s="33">
        <v>4250000</v>
      </c>
      <c r="H72" s="25" t="s">
        <v>497</v>
      </c>
      <c r="I72" s="25" t="s">
        <v>352</v>
      </c>
      <c r="J72" s="25">
        <v>1</v>
      </c>
    </row>
    <row r="73" spans="1:10" x14ac:dyDescent="0.25">
      <c r="A73" s="32">
        <v>46224</v>
      </c>
      <c r="B73" s="27" t="s">
        <v>298</v>
      </c>
      <c r="C73" s="25" t="s">
        <v>333</v>
      </c>
      <c r="D73" s="25" t="s">
        <v>498</v>
      </c>
      <c r="E73" s="25" t="s">
        <v>167</v>
      </c>
      <c r="F73" s="25" t="s">
        <v>154</v>
      </c>
      <c r="G73" s="33">
        <v>1000000</v>
      </c>
      <c r="H73" s="25" t="s">
        <v>499</v>
      </c>
      <c r="I73" s="25" t="s">
        <v>156</v>
      </c>
      <c r="J73" s="25"/>
    </row>
    <row r="74" spans="1:10" x14ac:dyDescent="0.25">
      <c r="A74" s="32">
        <v>46224</v>
      </c>
      <c r="B74" s="27" t="s">
        <v>298</v>
      </c>
      <c r="C74" s="25" t="s">
        <v>325</v>
      </c>
      <c r="D74" s="25" t="s">
        <v>500</v>
      </c>
      <c r="E74" s="25" t="s">
        <v>297</v>
      </c>
      <c r="F74" s="25" t="s">
        <v>162</v>
      </c>
      <c r="G74" s="33">
        <v>1275000</v>
      </c>
      <c r="H74" s="25" t="s">
        <v>501</v>
      </c>
      <c r="I74" s="25" t="s">
        <v>156</v>
      </c>
      <c r="J74" s="25"/>
    </row>
    <row r="75" spans="1:10" x14ac:dyDescent="0.25">
      <c r="A75" s="32">
        <v>46224</v>
      </c>
      <c r="B75" s="27" t="s">
        <v>298</v>
      </c>
      <c r="C75" s="25" t="s">
        <v>325</v>
      </c>
      <c r="D75" s="25" t="s">
        <v>502</v>
      </c>
      <c r="E75" s="25" t="s">
        <v>297</v>
      </c>
      <c r="F75" s="25" t="s">
        <v>162</v>
      </c>
      <c r="G75" s="33">
        <v>3000000</v>
      </c>
      <c r="H75" s="25" t="s">
        <v>503</v>
      </c>
      <c r="I75" s="26" t="s">
        <v>193</v>
      </c>
      <c r="J75" s="25">
        <v>1</v>
      </c>
    </row>
    <row r="76" spans="1:10" x14ac:dyDescent="0.25">
      <c r="A76" s="32">
        <v>46224</v>
      </c>
      <c r="B76" s="27" t="s">
        <v>298</v>
      </c>
      <c r="C76" s="25" t="s">
        <v>325</v>
      </c>
      <c r="D76" s="25" t="s">
        <v>504</v>
      </c>
      <c r="E76" s="25" t="s">
        <v>297</v>
      </c>
      <c r="F76" s="25" t="s">
        <v>162</v>
      </c>
      <c r="G76" s="33">
        <v>1450000</v>
      </c>
      <c r="H76" s="25" t="s">
        <v>505</v>
      </c>
      <c r="I76" s="26" t="s">
        <v>318</v>
      </c>
      <c r="J76" s="25">
        <v>1</v>
      </c>
    </row>
    <row r="77" spans="1:10" x14ac:dyDescent="0.25">
      <c r="A77" s="32">
        <v>46226</v>
      </c>
      <c r="B77" s="27" t="s">
        <v>298</v>
      </c>
      <c r="C77" s="25" t="s">
        <v>325</v>
      </c>
      <c r="D77" s="25" t="s">
        <v>506</v>
      </c>
      <c r="E77" s="25" t="s">
        <v>297</v>
      </c>
      <c r="F77" s="25" t="s">
        <v>162</v>
      </c>
      <c r="G77" s="33">
        <v>1700000</v>
      </c>
      <c r="H77" s="25" t="s">
        <v>507</v>
      </c>
      <c r="I77" s="25" t="s">
        <v>156</v>
      </c>
      <c r="J77" s="25"/>
    </row>
    <row r="78" spans="1:10" x14ac:dyDescent="0.25">
      <c r="A78" s="32">
        <v>46227</v>
      </c>
      <c r="B78" s="27" t="s">
        <v>298</v>
      </c>
      <c r="C78" s="25" t="s">
        <v>325</v>
      </c>
      <c r="D78" s="25" t="s">
        <v>508</v>
      </c>
      <c r="E78" s="25" t="s">
        <v>297</v>
      </c>
      <c r="F78" s="25" t="s">
        <v>162</v>
      </c>
      <c r="G78" s="33">
        <v>1700000</v>
      </c>
      <c r="H78" s="25" t="s">
        <v>509</v>
      </c>
      <c r="I78" s="25" t="s">
        <v>156</v>
      </c>
      <c r="J78" s="25"/>
    </row>
    <row r="79" spans="1:10" x14ac:dyDescent="0.25">
      <c r="A79" s="32">
        <v>46227</v>
      </c>
      <c r="B79" s="27" t="s">
        <v>298</v>
      </c>
      <c r="C79" s="25" t="s">
        <v>325</v>
      </c>
      <c r="D79" s="25" t="s">
        <v>510</v>
      </c>
      <c r="E79" s="25" t="s">
        <v>297</v>
      </c>
      <c r="F79" s="25" t="s">
        <v>162</v>
      </c>
      <c r="G79" s="33">
        <v>1275000</v>
      </c>
      <c r="H79" s="25" t="s">
        <v>511</v>
      </c>
      <c r="I79" s="25" t="s">
        <v>156</v>
      </c>
      <c r="J79" s="25"/>
    </row>
    <row r="80" spans="1:10" x14ac:dyDescent="0.25">
      <c r="A80" s="32">
        <v>46230</v>
      </c>
      <c r="B80" s="27" t="s">
        <v>298</v>
      </c>
      <c r="C80" s="25" t="s">
        <v>512</v>
      </c>
      <c r="D80" s="25" t="s">
        <v>513</v>
      </c>
      <c r="E80" s="25" t="s">
        <v>338</v>
      </c>
      <c r="F80" s="25" t="s">
        <v>162</v>
      </c>
      <c r="G80" s="33">
        <v>1700000</v>
      </c>
      <c r="H80" s="25" t="s">
        <v>514</v>
      </c>
      <c r="I80" s="25" t="s">
        <v>156</v>
      </c>
      <c r="J80" s="25"/>
    </row>
    <row r="81" spans="1:10" x14ac:dyDescent="0.25">
      <c r="A81" s="32">
        <v>46230</v>
      </c>
      <c r="B81" s="27" t="s">
        <v>298</v>
      </c>
      <c r="C81" s="25" t="s">
        <v>512</v>
      </c>
      <c r="D81" s="25" t="s">
        <v>515</v>
      </c>
      <c r="E81" s="25" t="s">
        <v>338</v>
      </c>
      <c r="F81" s="25" t="s">
        <v>162</v>
      </c>
      <c r="G81" s="33">
        <v>1200000</v>
      </c>
      <c r="H81" s="25" t="s">
        <v>516</v>
      </c>
      <c r="I81" s="25" t="s">
        <v>156</v>
      </c>
      <c r="J81" s="25"/>
    </row>
    <row r="82" spans="1:10" x14ac:dyDescent="0.25">
      <c r="A82" s="32">
        <v>46230</v>
      </c>
      <c r="B82" s="27" t="s">
        <v>298</v>
      </c>
      <c r="C82" s="25" t="s">
        <v>512</v>
      </c>
      <c r="D82" s="25" t="s">
        <v>517</v>
      </c>
      <c r="E82" s="25" t="s">
        <v>338</v>
      </c>
      <c r="F82" s="25" t="s">
        <v>162</v>
      </c>
      <c r="G82" s="33">
        <v>1700000</v>
      </c>
      <c r="H82" s="25" t="s">
        <v>518</v>
      </c>
      <c r="I82" s="25" t="s">
        <v>156</v>
      </c>
      <c r="J82" s="25"/>
    </row>
    <row r="83" spans="1:10" x14ac:dyDescent="0.25">
      <c r="A83" s="32">
        <v>46231</v>
      </c>
      <c r="B83" s="27" t="s">
        <v>298</v>
      </c>
      <c r="C83" s="25" t="s">
        <v>325</v>
      </c>
      <c r="D83" s="25" t="s">
        <v>519</v>
      </c>
      <c r="E83" s="25" t="s">
        <v>297</v>
      </c>
      <c r="F83" s="25" t="s">
        <v>162</v>
      </c>
      <c r="G83" s="33">
        <v>1275000</v>
      </c>
      <c r="H83" s="25" t="s">
        <v>520</v>
      </c>
      <c r="I83" s="26" t="s">
        <v>156</v>
      </c>
      <c r="J83" s="25">
        <v>1</v>
      </c>
    </row>
    <row r="84" spans="1:10" x14ac:dyDescent="0.25">
      <c r="A84" s="32">
        <v>46231</v>
      </c>
      <c r="B84" s="27" t="s">
        <v>298</v>
      </c>
      <c r="C84" s="25" t="s">
        <v>327</v>
      </c>
      <c r="D84" s="25" t="s">
        <v>521</v>
      </c>
      <c r="E84" s="25" t="s">
        <v>297</v>
      </c>
      <c r="F84" s="25" t="s">
        <v>162</v>
      </c>
      <c r="G84" s="33">
        <v>1300000</v>
      </c>
      <c r="H84" s="25" t="s">
        <v>522</v>
      </c>
      <c r="I84" s="26" t="s">
        <v>156</v>
      </c>
      <c r="J84" s="25">
        <v>1</v>
      </c>
    </row>
    <row r="85" spans="1:10" x14ac:dyDescent="0.25">
      <c r="A85" s="32">
        <v>46233</v>
      </c>
      <c r="B85" s="27" t="s">
        <v>298</v>
      </c>
      <c r="C85" s="25" t="s">
        <v>333</v>
      </c>
      <c r="D85" s="25" t="s">
        <v>523</v>
      </c>
      <c r="E85" s="25" t="s">
        <v>167</v>
      </c>
      <c r="F85" s="25" t="s">
        <v>154</v>
      </c>
      <c r="G85" s="33">
        <v>1700000</v>
      </c>
      <c r="H85" s="25" t="s">
        <v>524</v>
      </c>
      <c r="I85" s="25" t="s">
        <v>156</v>
      </c>
      <c r="J85" s="25"/>
    </row>
    <row r="86" spans="1:10" x14ac:dyDescent="0.25">
      <c r="A86" s="32">
        <v>46232</v>
      </c>
      <c r="B86" s="27" t="s">
        <v>298</v>
      </c>
      <c r="C86" s="25" t="s">
        <v>325</v>
      </c>
      <c r="D86" s="25" t="s">
        <v>525</v>
      </c>
      <c r="E86" s="25" t="s">
        <v>297</v>
      </c>
      <c r="F86" s="25" t="s">
        <v>162</v>
      </c>
      <c r="G86" s="33">
        <v>1275000</v>
      </c>
      <c r="H86" s="25" t="s">
        <v>526</v>
      </c>
      <c r="I86" s="25" t="s">
        <v>156</v>
      </c>
      <c r="J86" s="25"/>
    </row>
    <row r="87" spans="1:10" x14ac:dyDescent="0.25">
      <c r="A87" s="32">
        <v>46232</v>
      </c>
      <c r="B87" s="27" t="s">
        <v>298</v>
      </c>
      <c r="C87" s="25" t="s">
        <v>325</v>
      </c>
      <c r="D87" s="25" t="s">
        <v>527</v>
      </c>
      <c r="E87" s="25" t="s">
        <v>297</v>
      </c>
      <c r="F87" s="25" t="s">
        <v>162</v>
      </c>
      <c r="G87" s="33">
        <v>1300000</v>
      </c>
      <c r="H87" s="25" t="s">
        <v>528</v>
      </c>
      <c r="I87" s="25" t="s">
        <v>156</v>
      </c>
      <c r="J87" s="25"/>
    </row>
    <row r="88" spans="1:10" x14ac:dyDescent="0.25">
      <c r="A88" s="32">
        <v>46232</v>
      </c>
      <c r="B88" s="27" t="s">
        <v>298</v>
      </c>
      <c r="C88" s="25" t="s">
        <v>325</v>
      </c>
      <c r="D88" s="25" t="s">
        <v>529</v>
      </c>
      <c r="E88" s="25" t="s">
        <v>297</v>
      </c>
      <c r="F88" s="25" t="s">
        <v>162</v>
      </c>
      <c r="G88" s="33">
        <v>1200000</v>
      </c>
      <c r="H88" s="25" t="s">
        <v>530</v>
      </c>
      <c r="I88" s="25" t="s">
        <v>156</v>
      </c>
      <c r="J88" s="25"/>
    </row>
    <row r="89" spans="1:10" x14ac:dyDescent="0.25">
      <c r="A89" s="32">
        <v>46234</v>
      </c>
      <c r="B89" s="27" t="s">
        <v>298</v>
      </c>
      <c r="C89" s="25" t="s">
        <v>531</v>
      </c>
      <c r="D89" s="25" t="s">
        <v>532</v>
      </c>
      <c r="E89" s="25" t="s">
        <v>297</v>
      </c>
      <c r="F89" s="25" t="s">
        <v>159</v>
      </c>
      <c r="G89" s="33">
        <v>3500000</v>
      </c>
      <c r="H89" s="25" t="s">
        <v>533</v>
      </c>
      <c r="I89" s="26" t="s">
        <v>300</v>
      </c>
      <c r="J89" s="25">
        <v>1</v>
      </c>
    </row>
    <row r="90" spans="1:10" x14ac:dyDescent="0.25">
      <c r="A90" s="32">
        <v>46234</v>
      </c>
      <c r="B90" s="27" t="s">
        <v>298</v>
      </c>
      <c r="C90" s="25" t="s">
        <v>325</v>
      </c>
      <c r="D90" s="25" t="s">
        <v>534</v>
      </c>
      <c r="E90" s="25" t="s">
        <v>297</v>
      </c>
      <c r="F90" s="25" t="s">
        <v>162</v>
      </c>
      <c r="G90" s="33">
        <v>1700000</v>
      </c>
      <c r="H90" s="25" t="s">
        <v>535</v>
      </c>
      <c r="I90" s="25" t="s">
        <v>156</v>
      </c>
      <c r="J90" s="25"/>
    </row>
    <row r="91" spans="1:10" x14ac:dyDescent="0.25">
      <c r="A91" s="32">
        <v>46234</v>
      </c>
      <c r="B91" s="27" t="s">
        <v>298</v>
      </c>
      <c r="C91" s="25" t="s">
        <v>536</v>
      </c>
      <c r="D91" s="25" t="s">
        <v>537</v>
      </c>
      <c r="E91" s="25" t="s">
        <v>297</v>
      </c>
      <c r="F91" s="25" t="s">
        <v>155</v>
      </c>
      <c r="G91" s="33">
        <v>1700000</v>
      </c>
      <c r="H91" s="25" t="s">
        <v>538</v>
      </c>
      <c r="I91" s="25" t="s">
        <v>156</v>
      </c>
      <c r="J91" s="25"/>
    </row>
    <row r="92" spans="1:10" x14ac:dyDescent="0.25">
      <c r="A92" s="32">
        <v>46234</v>
      </c>
      <c r="B92" s="27" t="s">
        <v>298</v>
      </c>
      <c r="C92" s="25" t="s">
        <v>330</v>
      </c>
      <c r="D92" s="25" t="s">
        <v>539</v>
      </c>
      <c r="E92" s="25" t="s">
        <v>297</v>
      </c>
      <c r="F92" s="25" t="s">
        <v>165</v>
      </c>
      <c r="G92" s="33">
        <v>2000000</v>
      </c>
      <c r="H92" s="25" t="s">
        <v>540</v>
      </c>
      <c r="I92" s="25" t="s">
        <v>156</v>
      </c>
      <c r="J92" s="25"/>
    </row>
    <row r="93" spans="1:10" x14ac:dyDescent="0.25">
      <c r="A93" s="32">
        <v>46234</v>
      </c>
      <c r="B93" s="27" t="s">
        <v>298</v>
      </c>
      <c r="C93" s="25" t="s">
        <v>348</v>
      </c>
      <c r="D93" s="25" t="s">
        <v>541</v>
      </c>
      <c r="E93" s="25" t="s">
        <v>167</v>
      </c>
      <c r="F93" s="25" t="s">
        <v>160</v>
      </c>
      <c r="G93" s="33">
        <v>1500000</v>
      </c>
      <c r="H93" s="25" t="s">
        <v>542</v>
      </c>
      <c r="I93" s="25" t="s">
        <v>343</v>
      </c>
      <c r="J93" s="25">
        <v>1</v>
      </c>
    </row>
    <row r="94" spans="1:10" x14ac:dyDescent="0.25">
      <c r="A94" s="32">
        <v>46240</v>
      </c>
      <c r="B94" s="27" t="s">
        <v>298</v>
      </c>
      <c r="C94" s="25" t="s">
        <v>335</v>
      </c>
      <c r="D94" s="25" t="s">
        <v>543</v>
      </c>
      <c r="E94" s="25" t="s">
        <v>167</v>
      </c>
      <c r="F94" s="25" t="s">
        <v>160</v>
      </c>
      <c r="G94" s="33">
        <v>1700000</v>
      </c>
      <c r="H94" s="25" t="s">
        <v>544</v>
      </c>
      <c r="I94" s="25" t="s">
        <v>156</v>
      </c>
      <c r="J94" s="25"/>
    </row>
    <row r="95" spans="1:10" x14ac:dyDescent="0.25">
      <c r="A95" s="32">
        <v>46240</v>
      </c>
      <c r="B95" s="27" t="s">
        <v>298</v>
      </c>
      <c r="C95" s="25" t="s">
        <v>325</v>
      </c>
      <c r="D95" s="25" t="s">
        <v>545</v>
      </c>
      <c r="E95" s="25" t="s">
        <v>297</v>
      </c>
      <c r="F95" s="25" t="s">
        <v>162</v>
      </c>
      <c r="G95" s="33">
        <v>850000</v>
      </c>
      <c r="H95" s="25" t="s">
        <v>546</v>
      </c>
      <c r="I95" s="26" t="s">
        <v>178</v>
      </c>
      <c r="J95" s="25">
        <v>2</v>
      </c>
    </row>
    <row r="96" spans="1:10" x14ac:dyDescent="0.25">
      <c r="A96" s="32">
        <v>46240</v>
      </c>
      <c r="B96" s="27" t="s">
        <v>298</v>
      </c>
      <c r="C96" s="25" t="s">
        <v>325</v>
      </c>
      <c r="D96" s="25" t="s">
        <v>547</v>
      </c>
      <c r="E96" s="25" t="s">
        <v>297</v>
      </c>
      <c r="F96" s="25" t="s">
        <v>162</v>
      </c>
      <c r="G96" s="33">
        <v>1500000</v>
      </c>
      <c r="H96" s="25" t="s">
        <v>548</v>
      </c>
      <c r="I96" s="25" t="s">
        <v>156</v>
      </c>
      <c r="J96" s="25"/>
    </row>
    <row r="97" spans="1:10" x14ac:dyDescent="0.25">
      <c r="A97" s="32">
        <v>46240</v>
      </c>
      <c r="B97" s="27" t="s">
        <v>298</v>
      </c>
      <c r="C97" s="25" t="s">
        <v>326</v>
      </c>
      <c r="D97" s="25" t="s">
        <v>549</v>
      </c>
      <c r="E97" s="25" t="s">
        <v>297</v>
      </c>
      <c r="F97" s="25" t="s">
        <v>161</v>
      </c>
      <c r="G97" s="33">
        <v>1500000</v>
      </c>
      <c r="H97" s="25" t="s">
        <v>550</v>
      </c>
      <c r="I97" s="26" t="s">
        <v>183</v>
      </c>
      <c r="J97" s="25">
        <v>2</v>
      </c>
    </row>
    <row r="98" spans="1:10" x14ac:dyDescent="0.25">
      <c r="A98" s="32">
        <v>46240</v>
      </c>
      <c r="B98" s="27" t="s">
        <v>298</v>
      </c>
      <c r="C98" s="25" t="s">
        <v>325</v>
      </c>
      <c r="D98" s="25" t="s">
        <v>551</v>
      </c>
      <c r="E98" s="25" t="s">
        <v>297</v>
      </c>
      <c r="F98" s="25" t="s">
        <v>162</v>
      </c>
      <c r="G98" s="33">
        <v>1700000</v>
      </c>
      <c r="H98" s="25" t="s">
        <v>552</v>
      </c>
      <c r="I98" s="25" t="s">
        <v>156</v>
      </c>
      <c r="J98" s="25"/>
    </row>
    <row r="99" spans="1:10" x14ac:dyDescent="0.25">
      <c r="A99" s="32">
        <v>46241</v>
      </c>
      <c r="B99" s="27" t="s">
        <v>298</v>
      </c>
      <c r="C99" s="25" t="s">
        <v>553</v>
      </c>
      <c r="D99" s="25" t="s">
        <v>554</v>
      </c>
      <c r="E99" s="25" t="s">
        <v>167</v>
      </c>
      <c r="F99" s="25" t="s">
        <v>166</v>
      </c>
      <c r="G99" s="33">
        <v>1275000</v>
      </c>
      <c r="H99" s="25" t="s">
        <v>555</v>
      </c>
      <c r="I99" s="25" t="s">
        <v>156</v>
      </c>
      <c r="J99" s="25"/>
    </row>
    <row r="100" spans="1:10" x14ac:dyDescent="0.25">
      <c r="A100" s="32">
        <v>46241</v>
      </c>
      <c r="B100" s="27" t="s">
        <v>298</v>
      </c>
      <c r="C100" s="25" t="s">
        <v>325</v>
      </c>
      <c r="D100" s="25" t="s">
        <v>556</v>
      </c>
      <c r="E100" s="25" t="s">
        <v>297</v>
      </c>
      <c r="F100" s="25" t="s">
        <v>162</v>
      </c>
      <c r="G100" s="33">
        <v>3659000</v>
      </c>
      <c r="H100" s="25" t="s">
        <v>557</v>
      </c>
      <c r="I100" s="26" t="s">
        <v>304</v>
      </c>
      <c r="J100" s="25">
        <v>1</v>
      </c>
    </row>
    <row r="101" spans="1:10" x14ac:dyDescent="0.25">
      <c r="A101" s="32">
        <v>46244</v>
      </c>
      <c r="B101" s="27" t="s">
        <v>298</v>
      </c>
      <c r="C101" s="25" t="s">
        <v>327</v>
      </c>
      <c r="D101" s="25" t="s">
        <v>558</v>
      </c>
      <c r="E101" s="25" t="s">
        <v>297</v>
      </c>
      <c r="F101" s="25" t="s">
        <v>162</v>
      </c>
      <c r="G101" s="33">
        <v>1450000</v>
      </c>
      <c r="H101" s="25" t="s">
        <v>559</v>
      </c>
      <c r="I101" s="26" t="s">
        <v>318</v>
      </c>
      <c r="J101" s="25">
        <v>1</v>
      </c>
    </row>
    <row r="102" spans="1:10" x14ac:dyDescent="0.25">
      <c r="A102" s="32">
        <v>46244</v>
      </c>
      <c r="B102" s="27" t="s">
        <v>298</v>
      </c>
      <c r="C102" s="25" t="s">
        <v>325</v>
      </c>
      <c r="D102" s="25" t="s">
        <v>560</v>
      </c>
      <c r="E102" s="25" t="s">
        <v>297</v>
      </c>
      <c r="F102" s="25" t="s">
        <v>162</v>
      </c>
      <c r="G102" s="33">
        <v>1700000</v>
      </c>
      <c r="H102" s="25" t="s">
        <v>561</v>
      </c>
      <c r="I102" s="25" t="s">
        <v>156</v>
      </c>
      <c r="J102" s="25"/>
    </row>
    <row r="103" spans="1:10" x14ac:dyDescent="0.25">
      <c r="A103" s="32">
        <v>46244</v>
      </c>
      <c r="B103" s="27" t="s">
        <v>298</v>
      </c>
      <c r="C103" s="25" t="s">
        <v>325</v>
      </c>
      <c r="D103" s="25" t="s">
        <v>562</v>
      </c>
      <c r="E103" s="25" t="s">
        <v>297</v>
      </c>
      <c r="F103" s="25" t="s">
        <v>162</v>
      </c>
      <c r="G103" s="33">
        <v>1700000</v>
      </c>
      <c r="H103" s="25" t="s">
        <v>563</v>
      </c>
      <c r="I103" s="25" t="s">
        <v>156</v>
      </c>
      <c r="J103" s="25"/>
    </row>
    <row r="104" spans="1:10" x14ac:dyDescent="0.25">
      <c r="A104" s="32">
        <v>46244</v>
      </c>
      <c r="B104" s="27" t="s">
        <v>298</v>
      </c>
      <c r="C104" s="25" t="s">
        <v>325</v>
      </c>
      <c r="D104" s="25" t="s">
        <v>564</v>
      </c>
      <c r="E104" s="25" t="s">
        <v>297</v>
      </c>
      <c r="F104" s="25" t="s">
        <v>162</v>
      </c>
      <c r="G104" s="33">
        <v>1700000</v>
      </c>
      <c r="H104" s="25" t="s">
        <v>565</v>
      </c>
      <c r="I104" s="25"/>
      <c r="J104" s="25"/>
    </row>
    <row r="105" spans="1:10" x14ac:dyDescent="0.25">
      <c r="A105" s="32">
        <v>46244</v>
      </c>
      <c r="B105" s="27" t="s">
        <v>298</v>
      </c>
      <c r="C105" s="25" t="s">
        <v>335</v>
      </c>
      <c r="D105" s="25" t="s">
        <v>566</v>
      </c>
      <c r="E105" s="25" t="s">
        <v>167</v>
      </c>
      <c r="F105" s="25" t="s">
        <v>160</v>
      </c>
      <c r="G105" s="33">
        <v>1700000</v>
      </c>
      <c r="H105" s="25" t="s">
        <v>567</v>
      </c>
      <c r="I105" s="25" t="s">
        <v>156</v>
      </c>
      <c r="J105" s="25"/>
    </row>
    <row r="106" spans="1:10" x14ac:dyDescent="0.25">
      <c r="A106" s="32">
        <v>46244</v>
      </c>
      <c r="B106" s="27" t="s">
        <v>298</v>
      </c>
      <c r="C106" s="25" t="s">
        <v>568</v>
      </c>
      <c r="D106" s="25" t="s">
        <v>351</v>
      </c>
      <c r="E106" s="25" t="s">
        <v>297</v>
      </c>
      <c r="F106" s="25" t="s">
        <v>155</v>
      </c>
      <c r="G106" s="33">
        <v>6050000</v>
      </c>
      <c r="H106" s="25" t="s">
        <v>569</v>
      </c>
      <c r="I106" s="25" t="s">
        <v>321</v>
      </c>
      <c r="J106" s="25">
        <v>1</v>
      </c>
    </row>
    <row r="107" spans="1:10" x14ac:dyDescent="0.25">
      <c r="A107" s="32">
        <v>46244</v>
      </c>
      <c r="B107" s="27" t="s">
        <v>298</v>
      </c>
      <c r="C107" s="25" t="s">
        <v>325</v>
      </c>
      <c r="D107" s="25" t="s">
        <v>570</v>
      </c>
      <c r="E107" s="25" t="s">
        <v>297</v>
      </c>
      <c r="F107" s="25" t="s">
        <v>162</v>
      </c>
      <c r="G107" s="33">
        <v>1275000</v>
      </c>
      <c r="H107" s="25" t="s">
        <v>571</v>
      </c>
      <c r="I107" s="25" t="s">
        <v>156</v>
      </c>
      <c r="J107" s="25"/>
    </row>
    <row r="108" spans="1:10" x14ac:dyDescent="0.25">
      <c r="A108" s="32">
        <v>46238</v>
      </c>
      <c r="B108" s="27" t="s">
        <v>298</v>
      </c>
      <c r="C108" s="25" t="s">
        <v>325</v>
      </c>
      <c r="D108" s="25" t="s">
        <v>572</v>
      </c>
      <c r="E108" s="25" t="s">
        <v>297</v>
      </c>
      <c r="F108" s="25" t="s">
        <v>162</v>
      </c>
      <c r="G108" s="33">
        <v>1700000</v>
      </c>
      <c r="H108" s="25" t="s">
        <v>573</v>
      </c>
      <c r="I108" s="25" t="s">
        <v>156</v>
      </c>
      <c r="J108" s="25"/>
    </row>
    <row r="109" spans="1:10" x14ac:dyDescent="0.25">
      <c r="A109" s="32">
        <v>46238</v>
      </c>
      <c r="B109" s="27" t="s">
        <v>298</v>
      </c>
      <c r="C109" s="25" t="s">
        <v>325</v>
      </c>
      <c r="D109" s="25" t="s">
        <v>574</v>
      </c>
      <c r="E109" s="25" t="s">
        <v>297</v>
      </c>
      <c r="F109" s="25" t="s">
        <v>162</v>
      </c>
      <c r="G109" s="33">
        <v>1000000</v>
      </c>
      <c r="H109" s="25" t="s">
        <v>575</v>
      </c>
      <c r="I109" s="25" t="s">
        <v>156</v>
      </c>
      <c r="J109" s="25"/>
    </row>
    <row r="110" spans="1:10" x14ac:dyDescent="0.25">
      <c r="A110" s="32">
        <v>46238</v>
      </c>
      <c r="B110" s="27" t="s">
        <v>298</v>
      </c>
      <c r="C110" s="25" t="s">
        <v>326</v>
      </c>
      <c r="D110" s="25" t="s">
        <v>576</v>
      </c>
      <c r="E110" s="25" t="s">
        <v>297</v>
      </c>
      <c r="F110" s="25" t="s">
        <v>161</v>
      </c>
      <c r="G110" s="33">
        <v>2000000</v>
      </c>
      <c r="H110" s="25" t="s">
        <v>577</v>
      </c>
      <c r="I110" s="26" t="s">
        <v>196</v>
      </c>
      <c r="J110" s="25">
        <v>2</v>
      </c>
    </row>
    <row r="111" spans="1:10" x14ac:dyDescent="0.25">
      <c r="A111" s="32">
        <v>46245</v>
      </c>
      <c r="B111" s="27" t="s">
        <v>298</v>
      </c>
      <c r="C111" s="25" t="s">
        <v>578</v>
      </c>
      <c r="D111" s="25" t="s">
        <v>579</v>
      </c>
      <c r="E111" s="25" t="s">
        <v>346</v>
      </c>
      <c r="F111" s="25" t="s">
        <v>164</v>
      </c>
      <c r="G111" s="33">
        <v>4000000</v>
      </c>
      <c r="H111" s="25" t="s">
        <v>580</v>
      </c>
      <c r="I111" s="26" t="s">
        <v>307</v>
      </c>
      <c r="J111" s="25">
        <v>1</v>
      </c>
    </row>
    <row r="112" spans="1:10" x14ac:dyDescent="0.25">
      <c r="A112" s="32">
        <v>46245</v>
      </c>
      <c r="B112" s="27" t="s">
        <v>298</v>
      </c>
      <c r="C112" s="25" t="s">
        <v>325</v>
      </c>
      <c r="D112" s="25" t="s">
        <v>581</v>
      </c>
      <c r="E112" s="25" t="s">
        <v>297</v>
      </c>
      <c r="F112" s="25" t="s">
        <v>162</v>
      </c>
      <c r="G112" s="33">
        <v>1700000</v>
      </c>
      <c r="H112" s="25" t="s">
        <v>582</v>
      </c>
      <c r="I112" s="25" t="s">
        <v>156</v>
      </c>
      <c r="J112" s="25"/>
    </row>
    <row r="113" spans="1:10" x14ac:dyDescent="0.25">
      <c r="A113" s="32">
        <v>46245</v>
      </c>
      <c r="B113" s="27" t="s">
        <v>298</v>
      </c>
      <c r="C113" s="25" t="s">
        <v>325</v>
      </c>
      <c r="D113" s="25" t="s">
        <v>583</v>
      </c>
      <c r="E113" s="25" t="s">
        <v>297</v>
      </c>
      <c r="F113" s="25" t="s">
        <v>162</v>
      </c>
      <c r="G113" s="33">
        <v>1700000</v>
      </c>
      <c r="H113" s="25" t="s">
        <v>584</v>
      </c>
      <c r="I113" s="25" t="s">
        <v>156</v>
      </c>
      <c r="J113" s="25"/>
    </row>
    <row r="114" spans="1:10" x14ac:dyDescent="0.25">
      <c r="A114" s="32">
        <v>46237</v>
      </c>
      <c r="B114" s="27" t="s">
        <v>298</v>
      </c>
      <c r="C114" s="25" t="s">
        <v>325</v>
      </c>
      <c r="D114" s="25" t="s">
        <v>585</v>
      </c>
      <c r="E114" s="25" t="s">
        <v>297</v>
      </c>
      <c r="F114" s="25" t="s">
        <v>162</v>
      </c>
      <c r="G114" s="33">
        <v>1700000</v>
      </c>
      <c r="H114" s="25" t="s">
        <v>586</v>
      </c>
      <c r="I114" s="25" t="s">
        <v>156</v>
      </c>
      <c r="J114" s="25"/>
    </row>
    <row r="115" spans="1:10" x14ac:dyDescent="0.25">
      <c r="A115" s="32">
        <v>46237</v>
      </c>
      <c r="B115" s="27" t="s">
        <v>298</v>
      </c>
      <c r="C115" s="25" t="s">
        <v>325</v>
      </c>
      <c r="D115" s="25" t="s">
        <v>587</v>
      </c>
      <c r="E115" s="25" t="s">
        <v>297</v>
      </c>
      <c r="F115" s="25" t="s">
        <v>162</v>
      </c>
      <c r="G115" s="33">
        <v>1500000</v>
      </c>
      <c r="H115" s="25" t="s">
        <v>588</v>
      </c>
      <c r="I115" s="25" t="s">
        <v>156</v>
      </c>
      <c r="J115" s="25"/>
    </row>
    <row r="116" spans="1:10" x14ac:dyDescent="0.25">
      <c r="A116" s="32">
        <v>46237</v>
      </c>
      <c r="B116" s="27" t="s">
        <v>298</v>
      </c>
      <c r="C116" s="25" t="s">
        <v>335</v>
      </c>
      <c r="D116" s="25" t="s">
        <v>589</v>
      </c>
      <c r="E116" s="25" t="s">
        <v>167</v>
      </c>
      <c r="F116" s="25" t="s">
        <v>160</v>
      </c>
      <c r="G116" s="33">
        <v>1700000</v>
      </c>
      <c r="H116" s="25" t="s">
        <v>590</v>
      </c>
      <c r="I116" s="25" t="s">
        <v>156</v>
      </c>
      <c r="J116" s="25"/>
    </row>
    <row r="117" spans="1:10" x14ac:dyDescent="0.25">
      <c r="A117" s="32">
        <v>46237</v>
      </c>
      <c r="B117" s="27" t="s">
        <v>298</v>
      </c>
      <c r="C117" s="25" t="s">
        <v>325</v>
      </c>
      <c r="D117" s="25" t="s">
        <v>591</v>
      </c>
      <c r="E117" s="25" t="s">
        <v>297</v>
      </c>
      <c r="F117" s="25" t="s">
        <v>162</v>
      </c>
      <c r="G117" s="33">
        <v>3040000</v>
      </c>
      <c r="H117" s="25" t="s">
        <v>592</v>
      </c>
      <c r="I117" s="26" t="s">
        <v>308</v>
      </c>
      <c r="J117" s="25">
        <v>1</v>
      </c>
    </row>
    <row r="118" spans="1:10" x14ac:dyDescent="0.25">
      <c r="A118" s="32">
        <v>46246</v>
      </c>
      <c r="B118" s="27" t="s">
        <v>298</v>
      </c>
      <c r="C118" s="25" t="s">
        <v>325</v>
      </c>
      <c r="D118" s="25" t="s">
        <v>593</v>
      </c>
      <c r="E118" s="25" t="s">
        <v>297</v>
      </c>
      <c r="F118" s="25" t="s">
        <v>162</v>
      </c>
      <c r="G118" s="33">
        <v>1700000</v>
      </c>
      <c r="H118" s="25" t="s">
        <v>594</v>
      </c>
      <c r="I118" s="25" t="s">
        <v>156</v>
      </c>
      <c r="J118" s="25"/>
    </row>
    <row r="119" spans="1:10" x14ac:dyDescent="0.25">
      <c r="A119" s="32">
        <v>46246</v>
      </c>
      <c r="B119" s="27" t="s">
        <v>298</v>
      </c>
      <c r="C119" s="25" t="s">
        <v>325</v>
      </c>
      <c r="D119" s="25" t="s">
        <v>595</v>
      </c>
      <c r="E119" s="25" t="s">
        <v>297</v>
      </c>
      <c r="F119" s="25" t="s">
        <v>162</v>
      </c>
      <c r="G119" s="33">
        <v>1700000</v>
      </c>
      <c r="H119" s="25" t="s">
        <v>596</v>
      </c>
      <c r="I119" s="25" t="s">
        <v>156</v>
      </c>
      <c r="J119" s="25"/>
    </row>
    <row r="120" spans="1:10" x14ac:dyDescent="0.25">
      <c r="A120" s="32">
        <v>46247</v>
      </c>
      <c r="B120" s="27" t="s">
        <v>298</v>
      </c>
      <c r="C120" s="25" t="s">
        <v>334</v>
      </c>
      <c r="D120" s="25" t="s">
        <v>597</v>
      </c>
      <c r="E120" s="25" t="s">
        <v>297</v>
      </c>
      <c r="F120" s="25" t="s">
        <v>157</v>
      </c>
      <c r="G120" s="33">
        <v>1700000</v>
      </c>
      <c r="H120" s="25" t="s">
        <v>598</v>
      </c>
      <c r="I120" s="25" t="s">
        <v>156</v>
      </c>
      <c r="J120" s="25"/>
    </row>
    <row r="121" spans="1:10" x14ac:dyDescent="0.25">
      <c r="A121" s="32">
        <v>46248</v>
      </c>
      <c r="B121" s="27" t="s">
        <v>298</v>
      </c>
      <c r="C121" s="25" t="s">
        <v>325</v>
      </c>
      <c r="D121" s="25" t="s">
        <v>599</v>
      </c>
      <c r="E121" s="25" t="s">
        <v>297</v>
      </c>
      <c r="F121" s="25" t="s">
        <v>162</v>
      </c>
      <c r="G121" s="33">
        <v>1000000</v>
      </c>
      <c r="H121" s="25" t="s">
        <v>600</v>
      </c>
      <c r="I121" s="25" t="s">
        <v>156</v>
      </c>
      <c r="J121" s="25"/>
    </row>
    <row r="122" spans="1:10" x14ac:dyDescent="0.25">
      <c r="A122" s="32">
        <v>46248</v>
      </c>
      <c r="B122" s="27" t="s">
        <v>298</v>
      </c>
      <c r="C122" s="25" t="s">
        <v>325</v>
      </c>
      <c r="D122" s="25" t="s">
        <v>601</v>
      </c>
      <c r="E122" s="25" t="s">
        <v>297</v>
      </c>
      <c r="F122" s="25" t="s">
        <v>162</v>
      </c>
      <c r="G122" s="33">
        <v>700000</v>
      </c>
      <c r="H122" s="25" t="s">
        <v>602</v>
      </c>
      <c r="I122" s="26" t="s">
        <v>307</v>
      </c>
      <c r="J122" s="25">
        <v>1</v>
      </c>
    </row>
    <row r="123" spans="1:10" x14ac:dyDescent="0.25">
      <c r="A123" s="32">
        <v>46248</v>
      </c>
      <c r="B123" s="27" t="s">
        <v>298</v>
      </c>
      <c r="C123" s="25" t="s">
        <v>327</v>
      </c>
      <c r="D123" s="25" t="s">
        <v>603</v>
      </c>
      <c r="E123" s="25" t="s">
        <v>297</v>
      </c>
      <c r="F123" s="25" t="s">
        <v>162</v>
      </c>
      <c r="G123" s="33">
        <v>1000000</v>
      </c>
      <c r="H123" s="25" t="s">
        <v>604</v>
      </c>
      <c r="I123" s="25" t="s">
        <v>156</v>
      </c>
      <c r="J123" s="25"/>
    </row>
    <row r="124" spans="1:10" x14ac:dyDescent="0.25">
      <c r="A124" s="32">
        <v>46248</v>
      </c>
      <c r="B124" s="27" t="s">
        <v>298</v>
      </c>
      <c r="C124" s="25" t="s">
        <v>325</v>
      </c>
      <c r="D124" s="25" t="s">
        <v>605</v>
      </c>
      <c r="E124" s="25" t="s">
        <v>297</v>
      </c>
      <c r="F124" s="25" t="s">
        <v>162</v>
      </c>
      <c r="G124" s="33">
        <v>1700000</v>
      </c>
      <c r="H124" s="25" t="s">
        <v>606</v>
      </c>
      <c r="I124" s="25" t="s">
        <v>156</v>
      </c>
      <c r="J124" s="25"/>
    </row>
    <row r="125" spans="1:10" x14ac:dyDescent="0.25">
      <c r="A125" s="32">
        <v>46248</v>
      </c>
      <c r="B125" s="27" t="s">
        <v>298</v>
      </c>
      <c r="C125" s="25" t="s">
        <v>325</v>
      </c>
      <c r="D125" s="25" t="s">
        <v>607</v>
      </c>
      <c r="E125" s="25" t="s">
        <v>297</v>
      </c>
      <c r="F125" s="25" t="s">
        <v>162</v>
      </c>
      <c r="G125" s="33">
        <v>1700000</v>
      </c>
      <c r="H125" s="25" t="s">
        <v>608</v>
      </c>
      <c r="I125" s="25" t="s">
        <v>156</v>
      </c>
      <c r="J125" s="25"/>
    </row>
    <row r="126" spans="1:10" x14ac:dyDescent="0.25">
      <c r="A126" s="32">
        <v>46248</v>
      </c>
      <c r="B126" s="27" t="s">
        <v>298</v>
      </c>
      <c r="C126" s="25" t="s">
        <v>325</v>
      </c>
      <c r="D126" s="25" t="s">
        <v>609</v>
      </c>
      <c r="E126" s="25" t="s">
        <v>297</v>
      </c>
      <c r="F126" s="25" t="s">
        <v>162</v>
      </c>
      <c r="G126" s="33">
        <v>1200000</v>
      </c>
      <c r="H126" s="25" t="s">
        <v>610</v>
      </c>
      <c r="I126" s="25" t="s">
        <v>156</v>
      </c>
      <c r="J126" s="25"/>
    </row>
    <row r="127" spans="1:10" x14ac:dyDescent="0.25">
      <c r="A127" s="32">
        <v>46251</v>
      </c>
      <c r="B127" s="27" t="s">
        <v>298</v>
      </c>
      <c r="C127" s="25" t="s">
        <v>337</v>
      </c>
      <c r="D127" s="25" t="s">
        <v>611</v>
      </c>
      <c r="E127" s="25" t="s">
        <v>338</v>
      </c>
      <c r="F127" s="25" t="s">
        <v>162</v>
      </c>
      <c r="G127" s="33">
        <v>1200000</v>
      </c>
      <c r="H127" s="25" t="s">
        <v>612</v>
      </c>
      <c r="I127" s="25" t="s">
        <v>156</v>
      </c>
      <c r="J127" s="25"/>
    </row>
    <row r="128" spans="1:10" x14ac:dyDescent="0.25">
      <c r="A128" s="32">
        <v>46251</v>
      </c>
      <c r="B128" s="27" t="s">
        <v>298</v>
      </c>
      <c r="C128" s="25" t="s">
        <v>613</v>
      </c>
      <c r="D128" s="25" t="s">
        <v>614</v>
      </c>
      <c r="E128" s="25" t="s">
        <v>297</v>
      </c>
      <c r="F128" s="25" t="s">
        <v>615</v>
      </c>
      <c r="G128" s="33">
        <v>1700000</v>
      </c>
      <c r="H128" s="25" t="s">
        <v>616</v>
      </c>
      <c r="I128" s="26" t="s">
        <v>295</v>
      </c>
      <c r="J128" s="25">
        <v>1</v>
      </c>
    </row>
    <row r="129" spans="1:10" x14ac:dyDescent="0.25">
      <c r="A129" s="32">
        <v>46251</v>
      </c>
      <c r="B129" s="27" t="s">
        <v>298</v>
      </c>
      <c r="C129" s="25" t="s">
        <v>325</v>
      </c>
      <c r="D129" s="25" t="s">
        <v>617</v>
      </c>
      <c r="E129" s="25" t="s">
        <v>297</v>
      </c>
      <c r="F129" s="25" t="s">
        <v>162</v>
      </c>
      <c r="G129" s="33">
        <v>1700000</v>
      </c>
      <c r="H129" s="25" t="s">
        <v>618</v>
      </c>
      <c r="I129" s="25" t="s">
        <v>156</v>
      </c>
      <c r="J129" s="25"/>
    </row>
    <row r="130" spans="1:10" x14ac:dyDescent="0.25">
      <c r="A130" s="32">
        <v>46252</v>
      </c>
      <c r="B130" s="27" t="s">
        <v>298</v>
      </c>
      <c r="C130" s="25" t="s">
        <v>337</v>
      </c>
      <c r="D130" s="25" t="s">
        <v>619</v>
      </c>
      <c r="E130" s="25" t="s">
        <v>338</v>
      </c>
      <c r="F130" s="25" t="s">
        <v>162</v>
      </c>
      <c r="G130" s="33">
        <v>1700000</v>
      </c>
      <c r="H130" s="25" t="s">
        <v>620</v>
      </c>
      <c r="I130" s="25" t="s">
        <v>156</v>
      </c>
      <c r="J130" s="25"/>
    </row>
    <row r="131" spans="1:10" x14ac:dyDescent="0.25">
      <c r="A131" s="32">
        <v>46252</v>
      </c>
      <c r="B131" s="27" t="s">
        <v>298</v>
      </c>
      <c r="C131" s="25" t="s">
        <v>337</v>
      </c>
      <c r="D131" s="25" t="s">
        <v>621</v>
      </c>
      <c r="E131" s="25" t="s">
        <v>338</v>
      </c>
      <c r="F131" s="25" t="s">
        <v>162</v>
      </c>
      <c r="G131" s="33">
        <v>1700000</v>
      </c>
      <c r="H131" s="25" t="s">
        <v>622</v>
      </c>
      <c r="I131" s="25" t="s">
        <v>156</v>
      </c>
      <c r="J131" s="25"/>
    </row>
    <row r="132" spans="1:10" x14ac:dyDescent="0.25">
      <c r="A132" s="32">
        <v>46252</v>
      </c>
      <c r="B132" s="27" t="s">
        <v>298</v>
      </c>
      <c r="C132" s="25" t="s">
        <v>326</v>
      </c>
      <c r="D132" s="25" t="s">
        <v>623</v>
      </c>
      <c r="E132" s="25" t="s">
        <v>297</v>
      </c>
      <c r="F132" s="25" t="s">
        <v>161</v>
      </c>
      <c r="G132" s="33">
        <v>2300000</v>
      </c>
      <c r="H132" s="25" t="s">
        <v>624</v>
      </c>
      <c r="I132" s="26" t="s">
        <v>198</v>
      </c>
      <c r="J132" s="25">
        <v>2</v>
      </c>
    </row>
    <row r="133" spans="1:10" x14ac:dyDescent="0.25">
      <c r="A133" s="32">
        <v>46253</v>
      </c>
      <c r="B133" s="27" t="s">
        <v>298</v>
      </c>
      <c r="C133" s="25" t="s">
        <v>625</v>
      </c>
      <c r="D133" s="25" t="s">
        <v>626</v>
      </c>
      <c r="E133" s="25" t="s">
        <v>297</v>
      </c>
      <c r="F133" s="25" t="s">
        <v>159</v>
      </c>
      <c r="G133" s="33">
        <v>1000000</v>
      </c>
      <c r="H133" s="25" t="s">
        <v>627</v>
      </c>
      <c r="I133" s="26" t="s">
        <v>209</v>
      </c>
      <c r="J133" s="25">
        <v>2</v>
      </c>
    </row>
    <row r="134" spans="1:10" x14ac:dyDescent="0.25">
      <c r="A134" s="32">
        <v>46253</v>
      </c>
      <c r="B134" s="27" t="s">
        <v>298</v>
      </c>
      <c r="C134" s="25" t="s">
        <v>325</v>
      </c>
      <c r="D134" s="25" t="s">
        <v>628</v>
      </c>
      <c r="E134" s="25" t="s">
        <v>297</v>
      </c>
      <c r="F134" s="25" t="s">
        <v>162</v>
      </c>
      <c r="G134" s="33">
        <v>1275000</v>
      </c>
      <c r="H134" s="25" t="s">
        <v>629</v>
      </c>
      <c r="I134" s="25" t="s">
        <v>156</v>
      </c>
      <c r="J134" s="25"/>
    </row>
    <row r="135" spans="1:10" x14ac:dyDescent="0.25">
      <c r="A135" s="32">
        <v>46253</v>
      </c>
      <c r="B135" s="27" t="s">
        <v>298</v>
      </c>
      <c r="C135" s="25" t="s">
        <v>325</v>
      </c>
      <c r="D135" s="25" t="s">
        <v>630</v>
      </c>
      <c r="E135" s="25" t="s">
        <v>297</v>
      </c>
      <c r="F135" s="25" t="s">
        <v>162</v>
      </c>
      <c r="G135" s="33">
        <v>1700000</v>
      </c>
      <c r="H135" s="25" t="s">
        <v>631</v>
      </c>
      <c r="I135" s="25" t="s">
        <v>156</v>
      </c>
      <c r="J135" s="25"/>
    </row>
    <row r="136" spans="1:10" x14ac:dyDescent="0.25">
      <c r="A136" s="32">
        <v>46253</v>
      </c>
      <c r="B136" s="27" t="s">
        <v>298</v>
      </c>
      <c r="C136" s="25" t="s">
        <v>325</v>
      </c>
      <c r="D136" s="25" t="s">
        <v>632</v>
      </c>
      <c r="E136" s="25" t="s">
        <v>297</v>
      </c>
      <c r="F136" s="25" t="s">
        <v>162</v>
      </c>
      <c r="G136" s="33">
        <v>1000000</v>
      </c>
      <c r="H136" s="25" t="s">
        <v>633</v>
      </c>
      <c r="I136" s="26" t="s">
        <v>192</v>
      </c>
      <c r="J136" s="25">
        <v>2</v>
      </c>
    </row>
    <row r="137" spans="1:10" x14ac:dyDescent="0.25">
      <c r="A137" s="32">
        <v>46254</v>
      </c>
      <c r="B137" s="27" t="s">
        <v>298</v>
      </c>
      <c r="C137" s="25" t="s">
        <v>634</v>
      </c>
      <c r="D137" s="25" t="s">
        <v>635</v>
      </c>
      <c r="E137" s="25" t="s">
        <v>346</v>
      </c>
      <c r="F137" s="25" t="s">
        <v>164</v>
      </c>
      <c r="G137" s="33">
        <v>3612500</v>
      </c>
      <c r="H137" s="25" t="s">
        <v>636</v>
      </c>
      <c r="I137" s="26" t="s">
        <v>242</v>
      </c>
      <c r="J137" s="25">
        <v>2</v>
      </c>
    </row>
    <row r="138" spans="1:10" x14ac:dyDescent="0.25">
      <c r="A138" s="32">
        <v>46254</v>
      </c>
      <c r="B138" s="27" t="s">
        <v>298</v>
      </c>
      <c r="C138" s="25" t="s">
        <v>325</v>
      </c>
      <c r="D138" s="25" t="s">
        <v>637</v>
      </c>
      <c r="E138" s="25" t="s">
        <v>297</v>
      </c>
      <c r="F138" s="25" t="s">
        <v>162</v>
      </c>
      <c r="G138" s="33">
        <v>2125000</v>
      </c>
      <c r="H138" s="25" t="s">
        <v>638</v>
      </c>
      <c r="I138" s="25" t="s">
        <v>156</v>
      </c>
      <c r="J138" s="25"/>
    </row>
    <row r="139" spans="1:10" x14ac:dyDescent="0.25">
      <c r="A139" s="32">
        <v>46254</v>
      </c>
      <c r="B139" s="27" t="s">
        <v>298</v>
      </c>
      <c r="C139" s="25" t="s">
        <v>327</v>
      </c>
      <c r="D139" s="25" t="s">
        <v>639</v>
      </c>
      <c r="E139" s="25" t="s">
        <v>297</v>
      </c>
      <c r="F139" s="25" t="s">
        <v>162</v>
      </c>
      <c r="G139" s="33">
        <v>1700000</v>
      </c>
      <c r="H139" s="25" t="s">
        <v>640</v>
      </c>
      <c r="I139" s="25" t="s">
        <v>156</v>
      </c>
      <c r="J139" s="25"/>
    </row>
    <row r="140" spans="1:10" x14ac:dyDescent="0.25">
      <c r="A140" s="32">
        <v>46254</v>
      </c>
      <c r="B140" s="27" t="s">
        <v>298</v>
      </c>
      <c r="C140" s="25" t="s">
        <v>325</v>
      </c>
      <c r="D140" s="25" t="s">
        <v>641</v>
      </c>
      <c r="E140" s="25" t="s">
        <v>297</v>
      </c>
      <c r="F140" s="25" t="s">
        <v>162</v>
      </c>
      <c r="G140" s="33">
        <v>2000000</v>
      </c>
      <c r="H140" s="25" t="s">
        <v>642</v>
      </c>
      <c r="I140" s="25" t="s">
        <v>156</v>
      </c>
      <c r="J140" s="25"/>
    </row>
    <row r="141" spans="1:10" x14ac:dyDescent="0.25">
      <c r="A141" s="32">
        <v>46255</v>
      </c>
      <c r="B141" s="27" t="s">
        <v>298</v>
      </c>
      <c r="C141" s="25" t="s">
        <v>325</v>
      </c>
      <c r="D141" s="25" t="s">
        <v>643</v>
      </c>
      <c r="E141" s="25" t="s">
        <v>297</v>
      </c>
      <c r="F141" s="25" t="s">
        <v>162</v>
      </c>
      <c r="G141" s="33">
        <v>1000000</v>
      </c>
      <c r="H141" s="25" t="s">
        <v>644</v>
      </c>
      <c r="I141" s="25" t="s">
        <v>156</v>
      </c>
      <c r="J141" s="25"/>
    </row>
    <row r="142" spans="1:10" x14ac:dyDescent="0.25">
      <c r="A142" s="32">
        <v>46255</v>
      </c>
      <c r="B142" s="27" t="s">
        <v>298</v>
      </c>
      <c r="C142" s="25" t="s">
        <v>325</v>
      </c>
      <c r="D142" s="25" t="s">
        <v>645</v>
      </c>
      <c r="E142" s="25" t="s">
        <v>297</v>
      </c>
      <c r="F142" s="25" t="s">
        <v>162</v>
      </c>
      <c r="G142" s="33">
        <v>1300000</v>
      </c>
      <c r="H142" s="25" t="s">
        <v>646</v>
      </c>
      <c r="I142" s="25" t="s">
        <v>156</v>
      </c>
      <c r="J142" s="25"/>
    </row>
    <row r="143" spans="1:10" x14ac:dyDescent="0.25">
      <c r="A143" s="32">
        <v>46255</v>
      </c>
      <c r="B143" s="27" t="s">
        <v>298</v>
      </c>
      <c r="C143" s="25" t="s">
        <v>325</v>
      </c>
      <c r="D143" s="25" t="s">
        <v>647</v>
      </c>
      <c r="E143" s="25" t="s">
        <v>297</v>
      </c>
      <c r="F143" s="25" t="s">
        <v>162</v>
      </c>
      <c r="G143" s="33">
        <v>1000000</v>
      </c>
      <c r="H143" s="25" t="s">
        <v>648</v>
      </c>
      <c r="I143" s="25" t="s">
        <v>156</v>
      </c>
      <c r="J143" s="25"/>
    </row>
    <row r="144" spans="1:10" x14ac:dyDescent="0.25">
      <c r="A144" s="32">
        <v>46258</v>
      </c>
      <c r="B144" s="27" t="s">
        <v>298</v>
      </c>
      <c r="C144" s="25" t="s">
        <v>325</v>
      </c>
      <c r="D144" s="25" t="s">
        <v>649</v>
      </c>
      <c r="E144" s="25" t="s">
        <v>297</v>
      </c>
      <c r="F144" s="25" t="s">
        <v>162</v>
      </c>
      <c r="G144" s="33">
        <v>2000000</v>
      </c>
      <c r="H144" s="25" t="s">
        <v>650</v>
      </c>
      <c r="I144" s="25" t="s">
        <v>156</v>
      </c>
      <c r="J144" s="25"/>
    </row>
    <row r="145" spans="1:10" x14ac:dyDescent="0.25">
      <c r="A145" s="32">
        <v>46258</v>
      </c>
      <c r="B145" s="27" t="s">
        <v>298</v>
      </c>
      <c r="C145" s="25" t="s">
        <v>325</v>
      </c>
      <c r="D145" s="25" t="s">
        <v>651</v>
      </c>
      <c r="E145" s="25" t="s">
        <v>297</v>
      </c>
      <c r="F145" s="25" t="s">
        <v>162</v>
      </c>
      <c r="G145" s="33">
        <v>1780000</v>
      </c>
      <c r="H145" s="25" t="s">
        <v>652</v>
      </c>
      <c r="I145" s="25" t="s">
        <v>156</v>
      </c>
      <c r="J145" s="25"/>
    </row>
    <row r="146" spans="1:10" x14ac:dyDescent="0.25">
      <c r="A146" s="32">
        <v>46258</v>
      </c>
      <c r="B146" s="27" t="s">
        <v>298</v>
      </c>
      <c r="C146" s="25" t="s">
        <v>332</v>
      </c>
      <c r="D146" s="25" t="s">
        <v>653</v>
      </c>
      <c r="E146" s="25" t="s">
        <v>167</v>
      </c>
      <c r="F146" s="25" t="s">
        <v>154</v>
      </c>
      <c r="G146" s="33">
        <v>200000</v>
      </c>
      <c r="H146" s="25" t="s">
        <v>654</v>
      </c>
      <c r="I146" s="26" t="s">
        <v>289</v>
      </c>
      <c r="J146" s="25">
        <v>1</v>
      </c>
    </row>
    <row r="147" spans="1:10" x14ac:dyDescent="0.25">
      <c r="A147" s="32">
        <v>46258</v>
      </c>
      <c r="B147" s="27" t="s">
        <v>298</v>
      </c>
      <c r="C147" s="25" t="s">
        <v>325</v>
      </c>
      <c r="D147" s="25" t="s">
        <v>655</v>
      </c>
      <c r="E147" s="25" t="s">
        <v>297</v>
      </c>
      <c r="F147" s="25" t="s">
        <v>162</v>
      </c>
      <c r="G147" s="33">
        <v>1700000</v>
      </c>
      <c r="H147" s="25" t="s">
        <v>656</v>
      </c>
      <c r="I147" s="25" t="s">
        <v>156</v>
      </c>
      <c r="J147" s="25"/>
    </row>
    <row r="148" spans="1:10" x14ac:dyDescent="0.25">
      <c r="A148" s="32">
        <v>46258</v>
      </c>
      <c r="B148" s="27" t="s">
        <v>298</v>
      </c>
      <c r="C148" s="25" t="s">
        <v>325</v>
      </c>
      <c r="D148" s="25" t="s">
        <v>657</v>
      </c>
      <c r="E148" s="25" t="s">
        <v>297</v>
      </c>
      <c r="F148" s="25" t="s">
        <v>162</v>
      </c>
      <c r="G148" s="33">
        <v>1700000</v>
      </c>
      <c r="H148" s="25" t="s">
        <v>658</v>
      </c>
      <c r="I148" s="25" t="s">
        <v>156</v>
      </c>
      <c r="J148" s="25"/>
    </row>
    <row r="149" spans="1:10" x14ac:dyDescent="0.25">
      <c r="A149" s="32">
        <v>46259</v>
      </c>
      <c r="B149" s="27" t="s">
        <v>298</v>
      </c>
      <c r="C149" s="25" t="s">
        <v>337</v>
      </c>
      <c r="D149" s="25" t="s">
        <v>659</v>
      </c>
      <c r="E149" s="25" t="s">
        <v>338</v>
      </c>
      <c r="F149" s="25" t="s">
        <v>162</v>
      </c>
      <c r="G149" s="33">
        <v>1700000</v>
      </c>
      <c r="H149" s="25" t="s">
        <v>660</v>
      </c>
      <c r="I149" s="25" t="s">
        <v>156</v>
      </c>
      <c r="J149" s="25"/>
    </row>
    <row r="150" spans="1:10" x14ac:dyDescent="0.25">
      <c r="A150" s="32">
        <v>46259</v>
      </c>
      <c r="B150" s="27" t="s">
        <v>298</v>
      </c>
      <c r="C150" s="25" t="s">
        <v>661</v>
      </c>
      <c r="D150" s="25" t="s">
        <v>662</v>
      </c>
      <c r="E150" s="25" t="s">
        <v>167</v>
      </c>
      <c r="F150" s="25" t="s">
        <v>663</v>
      </c>
      <c r="G150" s="33">
        <v>1700000</v>
      </c>
      <c r="H150" s="25" t="s">
        <v>664</v>
      </c>
      <c r="I150" s="25" t="s">
        <v>156</v>
      </c>
      <c r="J150" s="25"/>
    </row>
    <row r="151" spans="1:10" x14ac:dyDescent="0.25">
      <c r="A151" s="32">
        <v>46259</v>
      </c>
      <c r="B151" s="27" t="s">
        <v>298</v>
      </c>
      <c r="C151" s="25" t="s">
        <v>327</v>
      </c>
      <c r="D151" s="25" t="s">
        <v>665</v>
      </c>
      <c r="E151" s="25" t="s">
        <v>297</v>
      </c>
      <c r="F151" s="25" t="s">
        <v>162</v>
      </c>
      <c r="G151" s="33">
        <v>2000000</v>
      </c>
      <c r="H151" s="25" t="s">
        <v>666</v>
      </c>
      <c r="I151" s="25" t="s">
        <v>156</v>
      </c>
      <c r="J151" s="25"/>
    </row>
    <row r="152" spans="1:10" x14ac:dyDescent="0.25">
      <c r="A152" s="32">
        <v>46259</v>
      </c>
      <c r="B152" s="27" t="s">
        <v>298</v>
      </c>
      <c r="C152" s="25" t="s">
        <v>325</v>
      </c>
      <c r="D152" s="25" t="s">
        <v>667</v>
      </c>
      <c r="E152" s="25" t="s">
        <v>297</v>
      </c>
      <c r="F152" s="25" t="s">
        <v>162</v>
      </c>
      <c r="G152" s="33">
        <v>1700000</v>
      </c>
      <c r="H152" s="25" t="s">
        <v>668</v>
      </c>
      <c r="I152" s="25" t="s">
        <v>156</v>
      </c>
      <c r="J152" s="25"/>
    </row>
    <row r="153" spans="1:10" x14ac:dyDescent="0.25">
      <c r="A153" s="32">
        <v>46260</v>
      </c>
      <c r="B153" s="27" t="s">
        <v>298</v>
      </c>
      <c r="C153" s="25" t="s">
        <v>348</v>
      </c>
      <c r="D153" s="25" t="s">
        <v>669</v>
      </c>
      <c r="E153" s="25" t="s">
        <v>167</v>
      </c>
      <c r="F153" s="25" t="s">
        <v>160</v>
      </c>
      <c r="G153" s="33">
        <v>1500000</v>
      </c>
      <c r="H153" s="25" t="s">
        <v>542</v>
      </c>
      <c r="I153" s="25" t="s">
        <v>343</v>
      </c>
      <c r="J153" s="25">
        <v>1</v>
      </c>
    </row>
    <row r="154" spans="1:10" x14ac:dyDescent="0.25">
      <c r="A154" s="32">
        <v>46261</v>
      </c>
      <c r="B154" s="27" t="s">
        <v>298</v>
      </c>
      <c r="C154" s="25" t="s">
        <v>354</v>
      </c>
      <c r="D154" s="25" t="s">
        <v>670</v>
      </c>
      <c r="E154" s="25" t="s">
        <v>297</v>
      </c>
      <c r="F154" s="25" t="s">
        <v>162</v>
      </c>
      <c r="G154" s="33">
        <v>3400000</v>
      </c>
      <c r="H154" s="25" t="s">
        <v>671</v>
      </c>
      <c r="I154" s="25" t="s">
        <v>156</v>
      </c>
      <c r="J154" s="25"/>
    </row>
    <row r="155" spans="1:10" x14ac:dyDescent="0.25">
      <c r="A155" s="32">
        <v>46261</v>
      </c>
      <c r="B155" s="27" t="s">
        <v>298</v>
      </c>
      <c r="C155" s="25" t="s">
        <v>325</v>
      </c>
      <c r="D155" s="25" t="s">
        <v>672</v>
      </c>
      <c r="E155" s="25" t="s">
        <v>297</v>
      </c>
      <c r="F155" s="25" t="s">
        <v>162</v>
      </c>
      <c r="G155" s="33">
        <v>1700000</v>
      </c>
      <c r="H155" s="25" t="s">
        <v>673</v>
      </c>
      <c r="I155" s="25" t="s">
        <v>156</v>
      </c>
      <c r="J155" s="25"/>
    </row>
    <row r="156" spans="1:10" x14ac:dyDescent="0.25">
      <c r="A156" s="32">
        <v>46261</v>
      </c>
      <c r="B156" s="27" t="s">
        <v>298</v>
      </c>
      <c r="C156" s="25" t="s">
        <v>325</v>
      </c>
      <c r="D156" s="25" t="s">
        <v>674</v>
      </c>
      <c r="E156" s="25" t="s">
        <v>297</v>
      </c>
      <c r="F156" s="25" t="s">
        <v>162</v>
      </c>
      <c r="G156" s="33">
        <v>1200000</v>
      </c>
      <c r="H156" s="25" t="s">
        <v>675</v>
      </c>
      <c r="I156" s="25" t="s">
        <v>156</v>
      </c>
      <c r="J156" s="25"/>
    </row>
    <row r="157" spans="1:10" x14ac:dyDescent="0.25">
      <c r="A157" s="32">
        <v>46262</v>
      </c>
      <c r="B157" s="27" t="s">
        <v>298</v>
      </c>
      <c r="C157" s="25" t="s">
        <v>325</v>
      </c>
      <c r="D157" s="25" t="s">
        <v>676</v>
      </c>
      <c r="E157" s="25" t="s">
        <v>297</v>
      </c>
      <c r="F157" s="25" t="s">
        <v>162</v>
      </c>
      <c r="G157" s="33">
        <v>1700000</v>
      </c>
      <c r="H157" s="25" t="s">
        <v>677</v>
      </c>
      <c r="I157" s="25" t="s">
        <v>156</v>
      </c>
      <c r="J157" s="25"/>
    </row>
    <row r="158" spans="1:10" x14ac:dyDescent="0.25">
      <c r="A158" s="32">
        <v>46262</v>
      </c>
      <c r="B158" s="27" t="s">
        <v>298</v>
      </c>
      <c r="C158" s="25" t="s">
        <v>678</v>
      </c>
      <c r="D158" s="25" t="s">
        <v>679</v>
      </c>
      <c r="E158" s="25" t="s">
        <v>167</v>
      </c>
      <c r="F158" s="25" t="s">
        <v>163</v>
      </c>
      <c r="G158" s="33">
        <v>2000000</v>
      </c>
      <c r="H158" s="25" t="s">
        <v>680</v>
      </c>
      <c r="I158" s="26" t="s">
        <v>197</v>
      </c>
      <c r="J158" s="25">
        <v>2</v>
      </c>
    </row>
    <row r="159" spans="1:10" x14ac:dyDescent="0.25">
      <c r="A159" s="32">
        <v>46262</v>
      </c>
      <c r="B159" s="27" t="s">
        <v>298</v>
      </c>
      <c r="C159" s="25" t="s">
        <v>325</v>
      </c>
      <c r="D159" s="25" t="s">
        <v>681</v>
      </c>
      <c r="E159" s="25" t="s">
        <v>297</v>
      </c>
      <c r="F159" s="25" t="s">
        <v>162</v>
      </c>
      <c r="G159" s="33">
        <v>1700000</v>
      </c>
      <c r="H159" s="25" t="s">
        <v>682</v>
      </c>
      <c r="I159" s="25" t="s">
        <v>156</v>
      </c>
      <c r="J159" s="25"/>
    </row>
    <row r="160" spans="1:10" x14ac:dyDescent="0.25">
      <c r="A160" s="32">
        <v>46267</v>
      </c>
      <c r="B160" s="27" t="s">
        <v>298</v>
      </c>
      <c r="C160" s="25" t="s">
        <v>337</v>
      </c>
      <c r="D160" s="25" t="s">
        <v>683</v>
      </c>
      <c r="E160" s="25" t="s">
        <v>338</v>
      </c>
      <c r="F160" s="25" t="s">
        <v>162</v>
      </c>
      <c r="G160" s="33">
        <v>3600000</v>
      </c>
      <c r="H160" s="25" t="s">
        <v>684</v>
      </c>
      <c r="I160" s="26" t="s">
        <v>310</v>
      </c>
      <c r="J160" s="25">
        <v>1</v>
      </c>
    </row>
    <row r="161" spans="1:10" x14ac:dyDescent="0.25">
      <c r="A161" s="32">
        <v>46267</v>
      </c>
      <c r="B161" s="27" t="s">
        <v>298</v>
      </c>
      <c r="C161" s="25" t="s">
        <v>337</v>
      </c>
      <c r="D161" s="25" t="s">
        <v>685</v>
      </c>
      <c r="E161" s="25" t="s">
        <v>338</v>
      </c>
      <c r="F161" s="25" t="s">
        <v>162</v>
      </c>
      <c r="G161" s="33">
        <v>1700000</v>
      </c>
      <c r="H161" s="25" t="s">
        <v>686</v>
      </c>
      <c r="I161" s="25" t="s">
        <v>156</v>
      </c>
      <c r="J161" s="25"/>
    </row>
    <row r="162" spans="1:10" x14ac:dyDescent="0.25">
      <c r="A162" s="32">
        <v>46267</v>
      </c>
      <c r="B162" s="27" t="s">
        <v>298</v>
      </c>
      <c r="C162" s="25" t="s">
        <v>335</v>
      </c>
      <c r="D162" s="25" t="s">
        <v>687</v>
      </c>
      <c r="E162" s="25" t="s">
        <v>167</v>
      </c>
      <c r="F162" s="25" t="s">
        <v>160</v>
      </c>
      <c r="G162" s="33">
        <v>2000000</v>
      </c>
      <c r="H162" s="25" t="s">
        <v>688</v>
      </c>
      <c r="I162" s="25" t="s">
        <v>156</v>
      </c>
      <c r="J162" s="25"/>
    </row>
    <row r="163" spans="1:10" x14ac:dyDescent="0.25">
      <c r="A163" s="32">
        <v>46267</v>
      </c>
      <c r="B163" s="27" t="s">
        <v>298</v>
      </c>
      <c r="C163" s="25" t="s">
        <v>325</v>
      </c>
      <c r="D163" s="25" t="s">
        <v>689</v>
      </c>
      <c r="E163" s="25" t="s">
        <v>297</v>
      </c>
      <c r="F163" s="25" t="s">
        <v>162</v>
      </c>
      <c r="G163" s="33">
        <v>1000000</v>
      </c>
      <c r="H163" s="25" t="s">
        <v>690</v>
      </c>
      <c r="I163" s="25" t="s">
        <v>156</v>
      </c>
      <c r="J163" s="25"/>
    </row>
    <row r="164" spans="1:10" x14ac:dyDescent="0.25">
      <c r="A164" s="32">
        <v>46267</v>
      </c>
      <c r="B164" s="27" t="s">
        <v>298</v>
      </c>
      <c r="C164" s="25" t="s">
        <v>325</v>
      </c>
      <c r="D164" s="25" t="s">
        <v>691</v>
      </c>
      <c r="E164" s="25" t="s">
        <v>297</v>
      </c>
      <c r="F164" s="25" t="s">
        <v>162</v>
      </c>
      <c r="G164" s="33">
        <v>700000</v>
      </c>
      <c r="H164" s="25" t="s">
        <v>692</v>
      </c>
      <c r="I164" s="25" t="s">
        <v>156</v>
      </c>
      <c r="J164" s="25"/>
    </row>
    <row r="165" spans="1:10" x14ac:dyDescent="0.25">
      <c r="A165" s="32">
        <v>46268</v>
      </c>
      <c r="B165" s="27" t="s">
        <v>298</v>
      </c>
      <c r="C165" s="25" t="s">
        <v>325</v>
      </c>
      <c r="D165" s="25" t="s">
        <v>693</v>
      </c>
      <c r="E165" s="25" t="s">
        <v>297</v>
      </c>
      <c r="F165" s="25" t="s">
        <v>162</v>
      </c>
      <c r="G165" s="33">
        <v>1700000</v>
      </c>
      <c r="H165" s="25" t="s">
        <v>694</v>
      </c>
      <c r="I165" s="25" t="s">
        <v>156</v>
      </c>
      <c r="J165" s="25"/>
    </row>
    <row r="166" spans="1:10" x14ac:dyDescent="0.25">
      <c r="A166" s="32">
        <v>46268</v>
      </c>
      <c r="B166" s="27" t="s">
        <v>298</v>
      </c>
      <c r="C166" s="25" t="s">
        <v>325</v>
      </c>
      <c r="D166" s="25" t="s">
        <v>695</v>
      </c>
      <c r="E166" s="25" t="s">
        <v>297</v>
      </c>
      <c r="F166" s="25" t="s">
        <v>162</v>
      </c>
      <c r="G166" s="33">
        <v>3500000</v>
      </c>
      <c r="H166" s="25" t="s">
        <v>696</v>
      </c>
      <c r="I166" s="26" t="s">
        <v>171</v>
      </c>
      <c r="J166" s="25">
        <v>2</v>
      </c>
    </row>
    <row r="167" spans="1:10" x14ac:dyDescent="0.25">
      <c r="A167" s="32">
        <v>46268</v>
      </c>
      <c r="B167" s="27" t="s">
        <v>298</v>
      </c>
      <c r="C167" s="25" t="s">
        <v>323</v>
      </c>
      <c r="D167" s="25" t="s">
        <v>697</v>
      </c>
      <c r="E167" s="25" t="s">
        <v>297</v>
      </c>
      <c r="F167" s="25" t="s">
        <v>162</v>
      </c>
      <c r="G167" s="33">
        <v>1000000</v>
      </c>
      <c r="H167" s="25" t="s">
        <v>698</v>
      </c>
      <c r="I167" s="26" t="s">
        <v>130</v>
      </c>
      <c r="J167" s="25">
        <v>3</v>
      </c>
    </row>
    <row r="168" spans="1:10" x14ac:dyDescent="0.25">
      <c r="A168" s="32">
        <v>46268</v>
      </c>
      <c r="B168" s="27" t="s">
        <v>298</v>
      </c>
      <c r="C168" s="25" t="s">
        <v>325</v>
      </c>
      <c r="D168" s="25" t="s">
        <v>699</v>
      </c>
      <c r="E168" s="25" t="s">
        <v>297</v>
      </c>
      <c r="F168" s="25" t="s">
        <v>162</v>
      </c>
      <c r="G168" s="33">
        <v>1700000</v>
      </c>
      <c r="H168" s="25" t="s">
        <v>700</v>
      </c>
      <c r="I168" s="25" t="s">
        <v>156</v>
      </c>
      <c r="J168" s="25"/>
    </row>
    <row r="169" spans="1:10" x14ac:dyDescent="0.25">
      <c r="A169" s="32">
        <v>46268</v>
      </c>
      <c r="B169" s="27" t="s">
        <v>298</v>
      </c>
      <c r="C169" s="25" t="s">
        <v>325</v>
      </c>
      <c r="D169" s="25" t="s">
        <v>701</v>
      </c>
      <c r="E169" s="25" t="s">
        <v>297</v>
      </c>
      <c r="F169" s="25" t="s">
        <v>162</v>
      </c>
      <c r="G169" s="33">
        <v>1700000</v>
      </c>
      <c r="H169" s="25" t="s">
        <v>702</v>
      </c>
      <c r="I169" s="25" t="s">
        <v>156</v>
      </c>
      <c r="J169" s="25"/>
    </row>
    <row r="170" spans="1:10" x14ac:dyDescent="0.25">
      <c r="A170" s="32">
        <v>46268</v>
      </c>
      <c r="B170" s="27" t="s">
        <v>298</v>
      </c>
      <c r="C170" s="25" t="s">
        <v>325</v>
      </c>
      <c r="D170" s="25" t="s">
        <v>703</v>
      </c>
      <c r="E170" s="25" t="s">
        <v>297</v>
      </c>
      <c r="F170" s="25" t="s">
        <v>162</v>
      </c>
      <c r="G170" s="33">
        <v>2000000</v>
      </c>
      <c r="H170" s="25" t="s">
        <v>704</v>
      </c>
      <c r="I170" s="25" t="s">
        <v>156</v>
      </c>
      <c r="J170" s="25"/>
    </row>
    <row r="171" spans="1:10" x14ac:dyDescent="0.25">
      <c r="A171" s="32">
        <v>46269</v>
      </c>
      <c r="B171" s="27" t="s">
        <v>298</v>
      </c>
      <c r="C171" s="25" t="s">
        <v>327</v>
      </c>
      <c r="D171" s="25" t="s">
        <v>705</v>
      </c>
      <c r="E171" s="25" t="s">
        <v>297</v>
      </c>
      <c r="F171" s="25" t="s">
        <v>162</v>
      </c>
      <c r="G171" s="33">
        <v>7225000</v>
      </c>
      <c r="H171" s="25" t="s">
        <v>706</v>
      </c>
      <c r="I171" s="25" t="s">
        <v>156</v>
      </c>
      <c r="J171" s="25"/>
    </row>
    <row r="172" spans="1:10" x14ac:dyDescent="0.25">
      <c r="A172" s="32">
        <v>46269</v>
      </c>
      <c r="B172" s="27" t="s">
        <v>298</v>
      </c>
      <c r="C172" s="25" t="s">
        <v>325</v>
      </c>
      <c r="D172" s="25" t="s">
        <v>707</v>
      </c>
      <c r="E172" s="25" t="s">
        <v>297</v>
      </c>
      <c r="F172" s="25" t="s">
        <v>162</v>
      </c>
      <c r="G172" s="33">
        <v>4000000</v>
      </c>
      <c r="H172" s="25" t="s">
        <v>708</v>
      </c>
      <c r="I172" s="25" t="s">
        <v>156</v>
      </c>
      <c r="J172" s="25"/>
    </row>
    <row r="173" spans="1:10" x14ac:dyDescent="0.25">
      <c r="A173" s="32">
        <v>46269</v>
      </c>
      <c r="B173" s="27" t="s">
        <v>298</v>
      </c>
      <c r="C173" s="25" t="s">
        <v>328</v>
      </c>
      <c r="D173" s="25" t="s">
        <v>709</v>
      </c>
      <c r="E173" s="25" t="s">
        <v>297</v>
      </c>
      <c r="F173" s="25" t="s">
        <v>329</v>
      </c>
      <c r="G173" s="33">
        <v>2000000</v>
      </c>
      <c r="H173" s="25" t="s">
        <v>710</v>
      </c>
      <c r="I173" s="26" t="s">
        <v>142</v>
      </c>
      <c r="J173" s="25">
        <v>2</v>
      </c>
    </row>
    <row r="174" spans="1:10" x14ac:dyDescent="0.25">
      <c r="A174" s="32">
        <v>46269</v>
      </c>
      <c r="B174" s="27" t="s">
        <v>298</v>
      </c>
      <c r="C174" s="25" t="s">
        <v>325</v>
      </c>
      <c r="D174" s="25" t="s">
        <v>711</v>
      </c>
      <c r="E174" s="25" t="s">
        <v>297</v>
      </c>
      <c r="F174" s="25" t="s">
        <v>162</v>
      </c>
      <c r="G174" s="33">
        <v>1700000</v>
      </c>
      <c r="H174" s="25" t="s">
        <v>712</v>
      </c>
      <c r="I174" s="25" t="s">
        <v>156</v>
      </c>
      <c r="J174" s="25"/>
    </row>
    <row r="175" spans="1:10" x14ac:dyDescent="0.25">
      <c r="A175" s="32">
        <v>46272</v>
      </c>
      <c r="B175" s="27" t="s">
        <v>298</v>
      </c>
      <c r="C175" s="25" t="s">
        <v>325</v>
      </c>
      <c r="D175" s="25" t="s">
        <v>713</v>
      </c>
      <c r="E175" s="25" t="s">
        <v>297</v>
      </c>
      <c r="F175" s="25" t="s">
        <v>162</v>
      </c>
      <c r="G175" s="33">
        <v>1500000</v>
      </c>
      <c r="H175" s="25" t="s">
        <v>714</v>
      </c>
      <c r="I175" s="25" t="s">
        <v>156</v>
      </c>
      <c r="J175" s="25"/>
    </row>
    <row r="176" spans="1:10" x14ac:dyDescent="0.25">
      <c r="A176" s="32">
        <v>46272</v>
      </c>
      <c r="B176" s="27" t="s">
        <v>298</v>
      </c>
      <c r="C176" s="25" t="s">
        <v>325</v>
      </c>
      <c r="D176" s="25" t="s">
        <v>715</v>
      </c>
      <c r="E176" s="25" t="s">
        <v>297</v>
      </c>
      <c r="F176" s="25" t="s">
        <v>162</v>
      </c>
      <c r="G176" s="33">
        <v>1300000</v>
      </c>
      <c r="H176" s="25" t="s">
        <v>716</v>
      </c>
      <c r="I176" s="25" t="s">
        <v>156</v>
      </c>
      <c r="J176" s="25"/>
    </row>
    <row r="177" spans="1:10" x14ac:dyDescent="0.25">
      <c r="A177" s="32">
        <v>46272</v>
      </c>
      <c r="B177" s="27" t="s">
        <v>298</v>
      </c>
      <c r="C177" s="25" t="s">
        <v>325</v>
      </c>
      <c r="D177" s="25" t="s">
        <v>717</v>
      </c>
      <c r="E177" s="25" t="s">
        <v>297</v>
      </c>
      <c r="F177" s="25" t="s">
        <v>162</v>
      </c>
      <c r="G177" s="33">
        <v>2200000</v>
      </c>
      <c r="H177" s="25" t="s">
        <v>718</v>
      </c>
      <c r="I177" s="25" t="s">
        <v>156</v>
      </c>
      <c r="J177" s="25"/>
    </row>
    <row r="178" spans="1:10" x14ac:dyDescent="0.25">
      <c r="A178" s="32">
        <v>46273</v>
      </c>
      <c r="B178" s="27" t="s">
        <v>298</v>
      </c>
      <c r="C178" s="25" t="s">
        <v>337</v>
      </c>
      <c r="D178" s="25" t="s">
        <v>719</v>
      </c>
      <c r="E178" s="25" t="s">
        <v>338</v>
      </c>
      <c r="F178" s="25" t="s">
        <v>162</v>
      </c>
      <c r="G178" s="33">
        <v>1700000</v>
      </c>
      <c r="H178" s="25" t="s">
        <v>720</v>
      </c>
      <c r="I178" s="25" t="s">
        <v>156</v>
      </c>
      <c r="J178" s="25"/>
    </row>
    <row r="179" spans="1:10" x14ac:dyDescent="0.25">
      <c r="A179" s="32">
        <v>46273</v>
      </c>
      <c r="B179" s="27" t="s">
        <v>298</v>
      </c>
      <c r="C179" s="25" t="s">
        <v>337</v>
      </c>
      <c r="D179" s="25" t="s">
        <v>721</v>
      </c>
      <c r="E179" s="25" t="s">
        <v>338</v>
      </c>
      <c r="F179" s="25" t="s">
        <v>162</v>
      </c>
      <c r="G179" s="33">
        <v>1000000</v>
      </c>
      <c r="H179" s="25" t="s">
        <v>722</v>
      </c>
      <c r="I179" s="25" t="s">
        <v>156</v>
      </c>
      <c r="J179" s="25"/>
    </row>
    <row r="180" spans="1:10" x14ac:dyDescent="0.25">
      <c r="A180" s="32">
        <v>46273</v>
      </c>
      <c r="B180" s="27" t="s">
        <v>298</v>
      </c>
      <c r="C180" s="25" t="s">
        <v>337</v>
      </c>
      <c r="D180" s="25" t="s">
        <v>723</v>
      </c>
      <c r="E180" s="25" t="s">
        <v>338</v>
      </c>
      <c r="F180" s="25" t="s">
        <v>162</v>
      </c>
      <c r="G180" s="33">
        <v>1700000</v>
      </c>
      <c r="H180" s="25" t="s">
        <v>724</v>
      </c>
      <c r="I180" s="25" t="s">
        <v>156</v>
      </c>
      <c r="J180" s="25"/>
    </row>
    <row r="181" spans="1:10" x14ac:dyDescent="0.25">
      <c r="A181" s="32">
        <v>46273</v>
      </c>
      <c r="B181" s="27" t="s">
        <v>298</v>
      </c>
      <c r="C181" s="25" t="s">
        <v>337</v>
      </c>
      <c r="D181" s="25" t="s">
        <v>725</v>
      </c>
      <c r="E181" s="25" t="s">
        <v>338</v>
      </c>
      <c r="F181" s="25" t="s">
        <v>162</v>
      </c>
      <c r="G181" s="33">
        <v>2000000</v>
      </c>
      <c r="H181" s="25" t="s">
        <v>726</v>
      </c>
      <c r="I181" s="25" t="s">
        <v>156</v>
      </c>
      <c r="J181" s="25"/>
    </row>
    <row r="182" spans="1:10" x14ac:dyDescent="0.25">
      <c r="A182" s="32">
        <v>46273</v>
      </c>
      <c r="B182" s="27" t="s">
        <v>298</v>
      </c>
      <c r="C182" s="25" t="s">
        <v>727</v>
      </c>
      <c r="D182" s="25" t="s">
        <v>728</v>
      </c>
      <c r="E182" s="25" t="s">
        <v>338</v>
      </c>
      <c r="F182" s="25" t="s">
        <v>162</v>
      </c>
      <c r="G182" s="33">
        <v>1700000</v>
      </c>
      <c r="H182" s="25" t="s">
        <v>729</v>
      </c>
      <c r="I182" s="25" t="s">
        <v>156</v>
      </c>
      <c r="J182" s="25"/>
    </row>
    <row r="183" spans="1:10" x14ac:dyDescent="0.25">
      <c r="A183" s="32">
        <v>46273</v>
      </c>
      <c r="B183" s="27" t="s">
        <v>298</v>
      </c>
      <c r="C183" s="25" t="s">
        <v>331</v>
      </c>
      <c r="D183" s="25" t="s">
        <v>730</v>
      </c>
      <c r="E183" s="25" t="s">
        <v>297</v>
      </c>
      <c r="F183" s="25" t="s">
        <v>162</v>
      </c>
      <c r="G183" s="33">
        <v>1000000</v>
      </c>
      <c r="H183" s="25" t="s">
        <v>731</v>
      </c>
      <c r="I183" s="26" t="s">
        <v>265</v>
      </c>
      <c r="J183" s="25">
        <v>2</v>
      </c>
    </row>
    <row r="184" spans="1:10" x14ac:dyDescent="0.25">
      <c r="A184" s="32">
        <v>46273</v>
      </c>
      <c r="B184" s="27" t="s">
        <v>298</v>
      </c>
      <c r="C184" s="25" t="s">
        <v>324</v>
      </c>
      <c r="D184" s="25" t="s">
        <v>732</v>
      </c>
      <c r="E184" s="25" t="s">
        <v>297</v>
      </c>
      <c r="F184" s="25" t="s">
        <v>162</v>
      </c>
      <c r="G184" s="33">
        <v>1275000</v>
      </c>
      <c r="H184" s="25" t="s">
        <v>733</v>
      </c>
      <c r="I184" s="26" t="s">
        <v>267</v>
      </c>
      <c r="J184" s="25">
        <v>2</v>
      </c>
    </row>
    <row r="185" spans="1:10" x14ac:dyDescent="0.25">
      <c r="A185" s="32">
        <v>46274</v>
      </c>
      <c r="B185" s="27" t="s">
        <v>298</v>
      </c>
      <c r="C185" s="25" t="s">
        <v>337</v>
      </c>
      <c r="D185" s="25" t="s">
        <v>734</v>
      </c>
      <c r="E185" s="25" t="s">
        <v>338</v>
      </c>
      <c r="F185" s="25" t="s">
        <v>162</v>
      </c>
      <c r="G185" s="33">
        <v>850000</v>
      </c>
      <c r="H185" s="25" t="s">
        <v>735</v>
      </c>
      <c r="I185" s="26" t="s">
        <v>273</v>
      </c>
      <c r="J185" s="25">
        <v>2</v>
      </c>
    </row>
    <row r="186" spans="1:10" x14ac:dyDescent="0.25">
      <c r="A186" s="32">
        <v>46274</v>
      </c>
      <c r="B186" s="27" t="s">
        <v>298</v>
      </c>
      <c r="C186" s="25" t="s">
        <v>337</v>
      </c>
      <c r="D186" s="25" t="s">
        <v>736</v>
      </c>
      <c r="E186" s="25" t="s">
        <v>338</v>
      </c>
      <c r="F186" s="25" t="s">
        <v>162</v>
      </c>
      <c r="G186" s="33">
        <v>1000000</v>
      </c>
      <c r="H186" s="25" t="s">
        <v>737</v>
      </c>
      <c r="I186" s="25" t="s">
        <v>156</v>
      </c>
      <c r="J186" s="25"/>
    </row>
    <row r="187" spans="1:10" x14ac:dyDescent="0.25">
      <c r="A187" s="32">
        <v>46274</v>
      </c>
      <c r="B187" s="27" t="s">
        <v>298</v>
      </c>
      <c r="C187" s="25" t="s">
        <v>337</v>
      </c>
      <c r="D187" s="25" t="s">
        <v>738</v>
      </c>
      <c r="E187" s="25" t="s">
        <v>338</v>
      </c>
      <c r="F187" s="25" t="s">
        <v>162</v>
      </c>
      <c r="G187" s="33">
        <v>2200000</v>
      </c>
      <c r="H187" s="25" t="s">
        <v>739</v>
      </c>
      <c r="I187" s="26" t="s">
        <v>143</v>
      </c>
      <c r="J187" s="25">
        <v>2</v>
      </c>
    </row>
    <row r="188" spans="1:10" x14ac:dyDescent="0.25">
      <c r="A188" s="32">
        <v>46274</v>
      </c>
      <c r="B188" s="27" t="s">
        <v>298</v>
      </c>
      <c r="C188" s="25" t="s">
        <v>337</v>
      </c>
      <c r="D188" s="25" t="s">
        <v>740</v>
      </c>
      <c r="E188" s="25" t="s">
        <v>338</v>
      </c>
      <c r="F188" s="25" t="s">
        <v>162</v>
      </c>
      <c r="G188" s="33">
        <v>1700000</v>
      </c>
      <c r="H188" s="25" t="s">
        <v>741</v>
      </c>
      <c r="I188" s="25" t="s">
        <v>156</v>
      </c>
      <c r="J188" s="25"/>
    </row>
    <row r="189" spans="1:10" x14ac:dyDescent="0.25">
      <c r="A189" s="32">
        <v>46274</v>
      </c>
      <c r="B189" s="27" t="s">
        <v>298</v>
      </c>
      <c r="C189" s="25" t="s">
        <v>325</v>
      </c>
      <c r="D189" s="25" t="s">
        <v>742</v>
      </c>
      <c r="E189" s="25" t="s">
        <v>297</v>
      </c>
      <c r="F189" s="25" t="s">
        <v>162</v>
      </c>
      <c r="G189" s="33">
        <v>1180000</v>
      </c>
      <c r="H189" s="25" t="s">
        <v>743</v>
      </c>
      <c r="I189" s="25" t="s">
        <v>156</v>
      </c>
      <c r="J189" s="25"/>
    </row>
    <row r="190" spans="1:10" x14ac:dyDescent="0.25">
      <c r="A190" s="32">
        <v>46274</v>
      </c>
      <c r="B190" s="27" t="s">
        <v>298</v>
      </c>
      <c r="C190" s="25" t="s">
        <v>325</v>
      </c>
      <c r="D190" s="25" t="s">
        <v>744</v>
      </c>
      <c r="E190" s="25" t="s">
        <v>297</v>
      </c>
      <c r="F190" s="25" t="s">
        <v>162</v>
      </c>
      <c r="G190" s="33">
        <v>1700000</v>
      </c>
      <c r="H190" s="25" t="s">
        <v>745</v>
      </c>
      <c r="I190" s="25" t="s">
        <v>156</v>
      </c>
      <c r="J190" s="25"/>
    </row>
    <row r="191" spans="1:10" x14ac:dyDescent="0.25">
      <c r="A191" s="32">
        <v>46274</v>
      </c>
      <c r="B191" s="27" t="s">
        <v>298</v>
      </c>
      <c r="C191" s="25" t="s">
        <v>334</v>
      </c>
      <c r="D191" s="25" t="s">
        <v>746</v>
      </c>
      <c r="E191" s="25" t="s">
        <v>297</v>
      </c>
      <c r="F191" s="25" t="s">
        <v>157</v>
      </c>
      <c r="G191" s="33">
        <v>1252000</v>
      </c>
      <c r="H191" s="25" t="s">
        <v>747</v>
      </c>
      <c r="I191" s="25" t="s">
        <v>156</v>
      </c>
      <c r="J191" s="25"/>
    </row>
    <row r="192" spans="1:10" x14ac:dyDescent="0.25">
      <c r="A192" s="32">
        <v>46274</v>
      </c>
      <c r="B192" s="27" t="s">
        <v>298</v>
      </c>
      <c r="C192" s="25" t="s">
        <v>325</v>
      </c>
      <c r="D192" s="25" t="s">
        <v>748</v>
      </c>
      <c r="E192" s="25" t="s">
        <v>297</v>
      </c>
      <c r="F192" s="25" t="s">
        <v>162</v>
      </c>
      <c r="G192" s="33">
        <v>1700000</v>
      </c>
      <c r="H192" s="25" t="s">
        <v>749</v>
      </c>
      <c r="I192" s="25" t="s">
        <v>156</v>
      </c>
      <c r="J192" s="25"/>
    </row>
    <row r="193" spans="1:10" x14ac:dyDescent="0.25">
      <c r="A193" s="32">
        <v>46274</v>
      </c>
      <c r="B193" s="27" t="s">
        <v>298</v>
      </c>
      <c r="C193" s="25" t="s">
        <v>325</v>
      </c>
      <c r="D193" s="25" t="s">
        <v>750</v>
      </c>
      <c r="E193" s="25" t="s">
        <v>297</v>
      </c>
      <c r="F193" s="25" t="s">
        <v>162</v>
      </c>
      <c r="G193" s="33">
        <v>1700000</v>
      </c>
      <c r="H193" s="25" t="s">
        <v>751</v>
      </c>
      <c r="I193" s="26" t="s">
        <v>220</v>
      </c>
      <c r="J193" s="25">
        <v>2</v>
      </c>
    </row>
    <row r="194" spans="1:10" x14ac:dyDescent="0.25">
      <c r="A194" s="32">
        <v>46274</v>
      </c>
      <c r="B194" s="27" t="s">
        <v>298</v>
      </c>
      <c r="C194" s="25" t="s">
        <v>325</v>
      </c>
      <c r="D194" s="25" t="s">
        <v>752</v>
      </c>
      <c r="E194" s="25" t="s">
        <v>297</v>
      </c>
      <c r="F194" s="25" t="s">
        <v>162</v>
      </c>
      <c r="G194" s="33">
        <v>1800000</v>
      </c>
      <c r="H194" s="25" t="s">
        <v>753</v>
      </c>
      <c r="I194" s="25" t="s">
        <v>156</v>
      </c>
      <c r="J194" s="25"/>
    </row>
    <row r="195" spans="1:10" x14ac:dyDescent="0.25">
      <c r="A195" s="32">
        <v>46274</v>
      </c>
      <c r="B195" s="27" t="s">
        <v>298</v>
      </c>
      <c r="C195" s="25" t="s">
        <v>325</v>
      </c>
      <c r="D195" s="25" t="s">
        <v>754</v>
      </c>
      <c r="E195" s="25" t="s">
        <v>297</v>
      </c>
      <c r="F195" s="25" t="s">
        <v>162</v>
      </c>
      <c r="G195" s="33">
        <v>1700000</v>
      </c>
      <c r="H195" s="25" t="s">
        <v>755</v>
      </c>
      <c r="I195" s="26" t="s">
        <v>223</v>
      </c>
      <c r="J195" s="25">
        <v>2</v>
      </c>
    </row>
    <row r="196" spans="1:10" x14ac:dyDescent="0.25">
      <c r="A196" s="32">
        <v>46275</v>
      </c>
      <c r="B196" s="27" t="s">
        <v>298</v>
      </c>
      <c r="C196" s="25" t="s">
        <v>325</v>
      </c>
      <c r="D196" s="25" t="s">
        <v>756</v>
      </c>
      <c r="E196" s="25" t="s">
        <v>297</v>
      </c>
      <c r="F196" s="25" t="s">
        <v>162</v>
      </c>
      <c r="G196" s="33">
        <v>3400000</v>
      </c>
      <c r="H196" s="25" t="s">
        <v>757</v>
      </c>
      <c r="I196" s="26" t="s">
        <v>248</v>
      </c>
      <c r="J196" s="25">
        <v>2</v>
      </c>
    </row>
    <row r="197" spans="1:10" x14ac:dyDescent="0.25">
      <c r="A197" s="32">
        <v>46275</v>
      </c>
      <c r="B197" s="27" t="s">
        <v>298</v>
      </c>
      <c r="C197" s="25" t="s">
        <v>325</v>
      </c>
      <c r="D197" s="25" t="s">
        <v>758</v>
      </c>
      <c r="E197" s="25" t="s">
        <v>297</v>
      </c>
      <c r="F197" s="25" t="s">
        <v>162</v>
      </c>
      <c r="G197" s="33">
        <v>2000000</v>
      </c>
      <c r="H197" s="25" t="s">
        <v>759</v>
      </c>
      <c r="I197" s="25" t="s">
        <v>156</v>
      </c>
      <c r="J197" s="25"/>
    </row>
    <row r="198" spans="1:10" x14ac:dyDescent="0.25">
      <c r="A198" s="32">
        <v>46275</v>
      </c>
      <c r="B198" s="27" t="s">
        <v>298</v>
      </c>
      <c r="C198" s="25" t="s">
        <v>760</v>
      </c>
      <c r="D198" s="25" t="s">
        <v>761</v>
      </c>
      <c r="E198" s="25" t="s">
        <v>167</v>
      </c>
      <c r="F198" s="25" t="s">
        <v>163</v>
      </c>
      <c r="G198" s="33">
        <v>1000000</v>
      </c>
      <c r="H198" s="25" t="s">
        <v>762</v>
      </c>
      <c r="I198" s="26" t="s">
        <v>316</v>
      </c>
      <c r="J198" s="25">
        <v>2</v>
      </c>
    </row>
    <row r="199" spans="1:10" x14ac:dyDescent="0.25">
      <c r="A199" s="32">
        <v>46275</v>
      </c>
      <c r="B199" s="27" t="s">
        <v>298</v>
      </c>
      <c r="C199" s="25" t="s">
        <v>325</v>
      </c>
      <c r="D199" s="25" t="s">
        <v>763</v>
      </c>
      <c r="E199" s="25" t="s">
        <v>297</v>
      </c>
      <c r="F199" s="25" t="s">
        <v>162</v>
      </c>
      <c r="G199" s="33">
        <v>3000000</v>
      </c>
      <c r="H199" s="25" t="s">
        <v>360</v>
      </c>
      <c r="I199" s="26" t="s">
        <v>148</v>
      </c>
      <c r="J199" s="25">
        <v>2</v>
      </c>
    </row>
    <row r="200" spans="1:10" x14ac:dyDescent="0.25">
      <c r="A200" s="32">
        <v>46275</v>
      </c>
      <c r="B200" s="27" t="s">
        <v>298</v>
      </c>
      <c r="C200" s="25" t="s">
        <v>325</v>
      </c>
      <c r="D200" s="25" t="s">
        <v>764</v>
      </c>
      <c r="E200" s="25" t="s">
        <v>297</v>
      </c>
      <c r="F200" s="25" t="s">
        <v>162</v>
      </c>
      <c r="G200" s="33">
        <v>2000000</v>
      </c>
      <c r="H200" s="25" t="s">
        <v>765</v>
      </c>
      <c r="I200" s="26" t="s">
        <v>311</v>
      </c>
      <c r="J200" s="25">
        <v>2</v>
      </c>
    </row>
    <row r="201" spans="1:10" x14ac:dyDescent="0.25">
      <c r="A201" s="32">
        <v>46275</v>
      </c>
      <c r="B201" s="27" t="s">
        <v>298</v>
      </c>
      <c r="C201" s="25" t="s">
        <v>325</v>
      </c>
      <c r="D201" s="25" t="s">
        <v>766</v>
      </c>
      <c r="E201" s="25" t="s">
        <v>297</v>
      </c>
      <c r="F201" s="25" t="s">
        <v>162</v>
      </c>
      <c r="G201" s="33">
        <v>1700000</v>
      </c>
      <c r="H201" s="25" t="s">
        <v>767</v>
      </c>
      <c r="I201" s="25" t="s">
        <v>156</v>
      </c>
      <c r="J201" s="25"/>
    </row>
    <row r="202" spans="1:10" x14ac:dyDescent="0.25">
      <c r="A202" s="32">
        <v>46275</v>
      </c>
      <c r="B202" s="27" t="s">
        <v>298</v>
      </c>
      <c r="C202" s="25" t="s">
        <v>331</v>
      </c>
      <c r="D202" s="25" t="s">
        <v>768</v>
      </c>
      <c r="E202" s="25" t="s">
        <v>297</v>
      </c>
      <c r="F202" s="25" t="s">
        <v>162</v>
      </c>
      <c r="G202" s="33">
        <v>3500000</v>
      </c>
      <c r="H202" s="25" t="s">
        <v>769</v>
      </c>
      <c r="I202" s="26" t="s">
        <v>303</v>
      </c>
      <c r="J202" s="25">
        <v>1</v>
      </c>
    </row>
    <row r="203" spans="1:10" x14ac:dyDescent="0.25">
      <c r="A203" s="32">
        <v>46275</v>
      </c>
      <c r="B203" s="27" t="s">
        <v>298</v>
      </c>
      <c r="C203" s="25" t="s">
        <v>325</v>
      </c>
      <c r="D203" s="25" t="s">
        <v>770</v>
      </c>
      <c r="E203" s="25" t="s">
        <v>297</v>
      </c>
      <c r="F203" s="25" t="s">
        <v>162</v>
      </c>
      <c r="G203" s="33">
        <v>3525000</v>
      </c>
      <c r="H203" s="25" t="s">
        <v>771</v>
      </c>
      <c r="I203" s="25" t="s">
        <v>156</v>
      </c>
      <c r="J203" s="25"/>
    </row>
    <row r="204" spans="1:10" x14ac:dyDescent="0.25">
      <c r="A204" s="32">
        <v>46275</v>
      </c>
      <c r="B204" s="27" t="s">
        <v>298</v>
      </c>
      <c r="C204" s="25" t="s">
        <v>325</v>
      </c>
      <c r="D204" s="25" t="s">
        <v>772</v>
      </c>
      <c r="E204" s="25" t="s">
        <v>297</v>
      </c>
      <c r="F204" s="25" t="s">
        <v>162</v>
      </c>
      <c r="G204" s="33">
        <v>1500000</v>
      </c>
      <c r="H204" s="25" t="s">
        <v>773</v>
      </c>
      <c r="I204" s="26" t="s">
        <v>177</v>
      </c>
      <c r="J204" s="25">
        <v>1</v>
      </c>
    </row>
    <row r="205" spans="1:10" x14ac:dyDescent="0.25">
      <c r="A205" s="32">
        <v>46275</v>
      </c>
      <c r="B205" s="27" t="s">
        <v>298</v>
      </c>
      <c r="C205" s="25" t="s">
        <v>327</v>
      </c>
      <c r="D205" s="25" t="s">
        <v>774</v>
      </c>
      <c r="E205" s="25" t="s">
        <v>297</v>
      </c>
      <c r="F205" s="25" t="s">
        <v>162</v>
      </c>
      <c r="G205" s="33">
        <v>1700000</v>
      </c>
      <c r="H205" s="25" t="s">
        <v>775</v>
      </c>
      <c r="I205" s="25" t="s">
        <v>156</v>
      </c>
      <c r="J205" s="25"/>
    </row>
    <row r="206" spans="1:10" x14ac:dyDescent="0.25">
      <c r="A206" s="32">
        <v>46275</v>
      </c>
      <c r="B206" s="27" t="s">
        <v>298</v>
      </c>
      <c r="C206" s="25" t="s">
        <v>327</v>
      </c>
      <c r="D206" s="25" t="s">
        <v>776</v>
      </c>
      <c r="E206" s="25" t="s">
        <v>297</v>
      </c>
      <c r="F206" s="25" t="s">
        <v>162</v>
      </c>
      <c r="G206" s="33">
        <v>1250000</v>
      </c>
      <c r="H206" s="25" t="s">
        <v>777</v>
      </c>
      <c r="I206" s="25" t="s">
        <v>156</v>
      </c>
      <c r="J206" s="25"/>
    </row>
    <row r="207" spans="1:10" x14ac:dyDescent="0.25">
      <c r="A207" s="32">
        <v>46276</v>
      </c>
      <c r="B207" s="27" t="s">
        <v>298</v>
      </c>
      <c r="C207" s="25" t="s">
        <v>325</v>
      </c>
      <c r="D207" s="25" t="s">
        <v>778</v>
      </c>
      <c r="E207" s="25" t="s">
        <v>297</v>
      </c>
      <c r="F207" s="25" t="s">
        <v>162</v>
      </c>
      <c r="G207" s="33">
        <v>2000000</v>
      </c>
      <c r="H207" s="25" t="s">
        <v>779</v>
      </c>
      <c r="I207" s="25" t="s">
        <v>156</v>
      </c>
      <c r="J207" s="25"/>
    </row>
    <row r="208" spans="1:10" x14ac:dyDescent="0.25">
      <c r="A208" s="32">
        <v>46276</v>
      </c>
      <c r="B208" s="27" t="s">
        <v>298</v>
      </c>
      <c r="C208" s="25" t="s">
        <v>325</v>
      </c>
      <c r="D208" s="25" t="s">
        <v>780</v>
      </c>
      <c r="E208" s="25" t="s">
        <v>297</v>
      </c>
      <c r="F208" s="25" t="s">
        <v>162</v>
      </c>
      <c r="G208" s="33">
        <v>1500000</v>
      </c>
      <c r="H208" s="25" t="s">
        <v>781</v>
      </c>
      <c r="I208" s="25" t="s">
        <v>156</v>
      </c>
      <c r="J208" s="25"/>
    </row>
    <row r="209" spans="1:10" x14ac:dyDescent="0.25">
      <c r="A209" s="32">
        <v>46276</v>
      </c>
      <c r="B209" s="27" t="s">
        <v>298</v>
      </c>
      <c r="C209" s="25" t="s">
        <v>325</v>
      </c>
      <c r="D209" s="25" t="s">
        <v>782</v>
      </c>
      <c r="E209" s="25" t="s">
        <v>297</v>
      </c>
      <c r="F209" s="25" t="s">
        <v>162</v>
      </c>
      <c r="G209" s="33">
        <v>5500000</v>
      </c>
      <c r="H209" s="25" t="s">
        <v>783</v>
      </c>
      <c r="I209" s="26" t="s">
        <v>251</v>
      </c>
      <c r="J209" s="25">
        <v>2</v>
      </c>
    </row>
    <row r="210" spans="1:10" x14ac:dyDescent="0.25">
      <c r="A210" s="32">
        <v>46276</v>
      </c>
      <c r="B210" s="27" t="s">
        <v>298</v>
      </c>
      <c r="C210" s="25" t="s">
        <v>634</v>
      </c>
      <c r="D210" s="25" t="s">
        <v>784</v>
      </c>
      <c r="E210" s="25" t="s">
        <v>346</v>
      </c>
      <c r="F210" s="25" t="s">
        <v>164</v>
      </c>
      <c r="G210" s="33">
        <v>4000000</v>
      </c>
      <c r="H210" s="25" t="s">
        <v>785</v>
      </c>
      <c r="I210" s="26" t="s">
        <v>214</v>
      </c>
      <c r="J210" s="25">
        <v>2</v>
      </c>
    </row>
    <row r="211" spans="1:10" x14ac:dyDescent="0.25">
      <c r="A211" s="32">
        <v>46276</v>
      </c>
      <c r="B211" s="27" t="s">
        <v>298</v>
      </c>
      <c r="C211" s="25" t="s">
        <v>336</v>
      </c>
      <c r="D211" s="25" t="s">
        <v>786</v>
      </c>
      <c r="E211" s="25" t="s">
        <v>297</v>
      </c>
      <c r="F211" s="25" t="s">
        <v>157</v>
      </c>
      <c r="G211" s="33">
        <v>1700000</v>
      </c>
      <c r="H211" s="25" t="s">
        <v>787</v>
      </c>
      <c r="I211" s="25" t="s">
        <v>156</v>
      </c>
      <c r="J211" s="25"/>
    </row>
    <row r="212" spans="1:10" x14ac:dyDescent="0.25">
      <c r="A212" s="32">
        <v>46276</v>
      </c>
      <c r="B212" s="27" t="s">
        <v>298</v>
      </c>
      <c r="C212" s="25" t="s">
        <v>327</v>
      </c>
      <c r="D212" s="25" t="s">
        <v>788</v>
      </c>
      <c r="E212" s="25" t="s">
        <v>297</v>
      </c>
      <c r="F212" s="25" t="s">
        <v>162</v>
      </c>
      <c r="G212" s="33">
        <v>1700000</v>
      </c>
      <c r="H212" s="25" t="s">
        <v>789</v>
      </c>
      <c r="I212" s="26" t="s">
        <v>233</v>
      </c>
      <c r="J212" s="25">
        <v>2</v>
      </c>
    </row>
    <row r="213" spans="1:10" x14ac:dyDescent="0.25">
      <c r="A213" s="32">
        <v>46279</v>
      </c>
      <c r="B213" s="27" t="s">
        <v>298</v>
      </c>
      <c r="C213" s="25" t="s">
        <v>337</v>
      </c>
      <c r="D213" s="25" t="s">
        <v>790</v>
      </c>
      <c r="E213" s="25" t="s">
        <v>338</v>
      </c>
      <c r="F213" s="25" t="s">
        <v>162</v>
      </c>
      <c r="G213" s="33">
        <v>1700000</v>
      </c>
      <c r="H213" s="25" t="s">
        <v>791</v>
      </c>
      <c r="I213" s="26" t="s">
        <v>174</v>
      </c>
      <c r="J213" s="25">
        <v>2</v>
      </c>
    </row>
    <row r="214" spans="1:10" x14ac:dyDescent="0.25">
      <c r="A214" s="32">
        <v>46279</v>
      </c>
      <c r="B214" s="27" t="s">
        <v>298</v>
      </c>
      <c r="C214" s="25" t="s">
        <v>337</v>
      </c>
      <c r="D214" s="25" t="s">
        <v>792</v>
      </c>
      <c r="E214" s="25" t="s">
        <v>338</v>
      </c>
      <c r="F214" s="25" t="s">
        <v>162</v>
      </c>
      <c r="G214" s="33">
        <v>1700000</v>
      </c>
      <c r="H214" s="25" t="s">
        <v>793</v>
      </c>
      <c r="I214" s="26" t="s">
        <v>271</v>
      </c>
      <c r="J214" s="25">
        <v>2</v>
      </c>
    </row>
    <row r="215" spans="1:10" x14ac:dyDescent="0.25">
      <c r="A215" s="32">
        <v>46279</v>
      </c>
      <c r="B215" s="27" t="s">
        <v>298</v>
      </c>
      <c r="C215" s="25" t="s">
        <v>337</v>
      </c>
      <c r="D215" s="25" t="s">
        <v>794</v>
      </c>
      <c r="E215" s="25" t="s">
        <v>338</v>
      </c>
      <c r="F215" s="25" t="s">
        <v>162</v>
      </c>
      <c r="G215" s="33">
        <v>1700000</v>
      </c>
      <c r="H215" s="25" t="s">
        <v>795</v>
      </c>
      <c r="I215" s="25" t="s">
        <v>156</v>
      </c>
      <c r="J215" s="25"/>
    </row>
    <row r="216" spans="1:10" x14ac:dyDescent="0.25">
      <c r="A216" s="32">
        <v>46279</v>
      </c>
      <c r="B216" s="27" t="s">
        <v>298</v>
      </c>
      <c r="C216" s="25" t="s">
        <v>727</v>
      </c>
      <c r="D216" s="25" t="s">
        <v>796</v>
      </c>
      <c r="E216" s="25" t="s">
        <v>338</v>
      </c>
      <c r="F216" s="25" t="s">
        <v>162</v>
      </c>
      <c r="G216" s="33">
        <v>1275000</v>
      </c>
      <c r="H216" s="25" t="s">
        <v>797</v>
      </c>
      <c r="I216" s="25" t="s">
        <v>156</v>
      </c>
      <c r="J216" s="25"/>
    </row>
    <row r="217" spans="1:10" x14ac:dyDescent="0.25">
      <c r="A217" s="32">
        <v>46279</v>
      </c>
      <c r="B217" s="27" t="s">
        <v>298</v>
      </c>
      <c r="C217" s="25" t="s">
        <v>325</v>
      </c>
      <c r="D217" s="25" t="s">
        <v>798</v>
      </c>
      <c r="E217" s="25" t="s">
        <v>297</v>
      </c>
      <c r="F217" s="25" t="s">
        <v>162</v>
      </c>
      <c r="G217" s="33">
        <v>4500000</v>
      </c>
      <c r="H217" s="25" t="s">
        <v>799</v>
      </c>
      <c r="I217" s="26" t="s">
        <v>211</v>
      </c>
      <c r="J217" s="25">
        <v>1</v>
      </c>
    </row>
    <row r="218" spans="1:10" x14ac:dyDescent="0.25">
      <c r="A218" s="32">
        <v>46279</v>
      </c>
      <c r="B218" s="27" t="s">
        <v>298</v>
      </c>
      <c r="C218" s="25" t="s">
        <v>325</v>
      </c>
      <c r="D218" s="25" t="s">
        <v>800</v>
      </c>
      <c r="E218" s="25" t="s">
        <v>297</v>
      </c>
      <c r="F218" s="25" t="s">
        <v>162</v>
      </c>
      <c r="G218" s="33">
        <v>1000000</v>
      </c>
      <c r="H218" s="25" t="s">
        <v>801</v>
      </c>
      <c r="I218" s="25" t="s">
        <v>156</v>
      </c>
      <c r="J218" s="25"/>
    </row>
    <row r="219" spans="1:10" x14ac:dyDescent="0.25">
      <c r="A219" s="32">
        <v>46279</v>
      </c>
      <c r="B219" s="27" t="s">
        <v>298</v>
      </c>
      <c r="C219" s="25" t="s">
        <v>325</v>
      </c>
      <c r="D219" s="25" t="s">
        <v>802</v>
      </c>
      <c r="E219" s="25" t="s">
        <v>297</v>
      </c>
      <c r="F219" s="25" t="s">
        <v>162</v>
      </c>
      <c r="G219" s="33">
        <v>3400000</v>
      </c>
      <c r="H219" s="25" t="s">
        <v>803</v>
      </c>
      <c r="I219" s="26" t="s">
        <v>277</v>
      </c>
      <c r="J219" s="25">
        <v>2</v>
      </c>
    </row>
    <row r="220" spans="1:10" x14ac:dyDescent="0.25">
      <c r="A220" s="32">
        <v>46279</v>
      </c>
      <c r="B220" s="27" t="s">
        <v>298</v>
      </c>
      <c r="C220" s="25" t="s">
        <v>334</v>
      </c>
      <c r="D220" s="25" t="s">
        <v>804</v>
      </c>
      <c r="E220" s="25" t="s">
        <v>297</v>
      </c>
      <c r="F220" s="25" t="s">
        <v>157</v>
      </c>
      <c r="G220" s="33">
        <v>1248000</v>
      </c>
      <c r="H220" s="25" t="s">
        <v>805</v>
      </c>
      <c r="I220" s="25" t="s">
        <v>156</v>
      </c>
      <c r="J220" s="25"/>
    </row>
    <row r="221" spans="1:10" x14ac:dyDescent="0.25">
      <c r="A221" s="32">
        <v>46279</v>
      </c>
      <c r="B221" s="27" t="s">
        <v>298</v>
      </c>
      <c r="C221" s="25" t="s">
        <v>325</v>
      </c>
      <c r="D221" s="25" t="s">
        <v>806</v>
      </c>
      <c r="E221" s="25" t="s">
        <v>297</v>
      </c>
      <c r="F221" s="25" t="s">
        <v>162</v>
      </c>
      <c r="G221" s="33">
        <v>1000000</v>
      </c>
      <c r="H221" s="25" t="s">
        <v>807</v>
      </c>
      <c r="I221" s="26" t="s">
        <v>246</v>
      </c>
      <c r="J221" s="25">
        <v>2</v>
      </c>
    </row>
    <row r="222" spans="1:10" x14ac:dyDescent="0.25">
      <c r="A222" s="32">
        <v>46279</v>
      </c>
      <c r="B222" s="27" t="s">
        <v>298</v>
      </c>
      <c r="C222" s="25" t="s">
        <v>331</v>
      </c>
      <c r="D222" s="25" t="s">
        <v>808</v>
      </c>
      <c r="E222" s="25" t="s">
        <v>297</v>
      </c>
      <c r="F222" s="25" t="s">
        <v>162</v>
      </c>
      <c r="G222" s="33">
        <v>2000000</v>
      </c>
      <c r="H222" s="25" t="s">
        <v>809</v>
      </c>
      <c r="I222" s="26" t="s">
        <v>234</v>
      </c>
      <c r="J222" s="25">
        <v>2</v>
      </c>
    </row>
    <row r="223" spans="1:10" x14ac:dyDescent="0.25">
      <c r="A223" s="32">
        <v>46279</v>
      </c>
      <c r="B223" s="27" t="s">
        <v>298</v>
      </c>
      <c r="C223" s="25" t="s">
        <v>326</v>
      </c>
      <c r="D223" s="25" t="s">
        <v>810</v>
      </c>
      <c r="E223" s="25" t="s">
        <v>297</v>
      </c>
      <c r="F223" s="25" t="s">
        <v>161</v>
      </c>
      <c r="G223" s="33">
        <v>1200000</v>
      </c>
      <c r="H223" s="25" t="s">
        <v>811</v>
      </c>
      <c r="I223" s="25" t="s">
        <v>156</v>
      </c>
      <c r="J223" s="25"/>
    </row>
    <row r="224" spans="1:10" x14ac:dyDescent="0.25">
      <c r="A224" s="32">
        <v>46279</v>
      </c>
      <c r="B224" s="27" t="s">
        <v>298</v>
      </c>
      <c r="C224" s="25" t="s">
        <v>812</v>
      </c>
      <c r="D224" s="25" t="s">
        <v>813</v>
      </c>
      <c r="E224" s="25" t="s">
        <v>167</v>
      </c>
      <c r="F224" s="25" t="s">
        <v>158</v>
      </c>
      <c r="G224" s="33">
        <v>1700000</v>
      </c>
      <c r="H224" s="25" t="s">
        <v>814</v>
      </c>
      <c r="I224" s="25" t="s">
        <v>156</v>
      </c>
      <c r="J224" s="25"/>
    </row>
    <row r="225" spans="1:10" x14ac:dyDescent="0.25">
      <c r="A225" s="32">
        <v>46279</v>
      </c>
      <c r="B225" s="27" t="s">
        <v>298</v>
      </c>
      <c r="C225" s="25" t="s">
        <v>325</v>
      </c>
      <c r="D225" s="25" t="s">
        <v>815</v>
      </c>
      <c r="E225" s="25" t="s">
        <v>297</v>
      </c>
      <c r="F225" s="25" t="s">
        <v>162</v>
      </c>
      <c r="G225" s="33">
        <v>1700000</v>
      </c>
      <c r="H225" s="25" t="s">
        <v>816</v>
      </c>
      <c r="I225" s="26" t="s">
        <v>217</v>
      </c>
      <c r="J225" s="25">
        <v>2</v>
      </c>
    </row>
    <row r="226" spans="1:10" x14ac:dyDescent="0.25">
      <c r="A226" s="32">
        <v>46279</v>
      </c>
      <c r="B226" s="27" t="s">
        <v>298</v>
      </c>
      <c r="C226" s="25" t="s">
        <v>331</v>
      </c>
      <c r="D226" s="25" t="s">
        <v>817</v>
      </c>
      <c r="E226" s="25" t="s">
        <v>297</v>
      </c>
      <c r="F226" s="25" t="s">
        <v>162</v>
      </c>
      <c r="G226" s="33">
        <v>1700000</v>
      </c>
      <c r="H226" s="25" t="s">
        <v>818</v>
      </c>
      <c r="I226" s="26" t="s">
        <v>247</v>
      </c>
      <c r="J226" s="25">
        <v>2</v>
      </c>
    </row>
    <row r="227" spans="1:10" x14ac:dyDescent="0.25">
      <c r="A227" s="32">
        <v>46279</v>
      </c>
      <c r="B227" s="27" t="s">
        <v>298</v>
      </c>
      <c r="C227" s="25" t="s">
        <v>325</v>
      </c>
      <c r="D227" s="25" t="s">
        <v>819</v>
      </c>
      <c r="E227" s="25" t="s">
        <v>297</v>
      </c>
      <c r="F227" s="25" t="s">
        <v>162</v>
      </c>
      <c r="G227" s="33">
        <v>4000000</v>
      </c>
      <c r="H227" s="25" t="s">
        <v>820</v>
      </c>
      <c r="I227" s="26" t="s">
        <v>210</v>
      </c>
      <c r="J227" s="25">
        <v>2</v>
      </c>
    </row>
    <row r="228" spans="1:10" x14ac:dyDescent="0.25">
      <c r="A228" s="32">
        <v>46279</v>
      </c>
      <c r="B228" s="27" t="s">
        <v>298</v>
      </c>
      <c r="C228" s="25" t="s">
        <v>325</v>
      </c>
      <c r="D228" s="25" t="s">
        <v>821</v>
      </c>
      <c r="E228" s="25" t="s">
        <v>297</v>
      </c>
      <c r="F228" s="25" t="s">
        <v>162</v>
      </c>
      <c r="G228" s="33">
        <v>3000000</v>
      </c>
      <c r="H228" s="25" t="s">
        <v>822</v>
      </c>
      <c r="I228" s="26" t="s">
        <v>193</v>
      </c>
      <c r="J228" s="25">
        <v>2</v>
      </c>
    </row>
    <row r="229" spans="1:10" x14ac:dyDescent="0.25">
      <c r="A229" s="32">
        <v>46276</v>
      </c>
      <c r="B229" s="27" t="s">
        <v>298</v>
      </c>
      <c r="C229" s="25" t="s">
        <v>337</v>
      </c>
      <c r="D229" s="25" t="s">
        <v>823</v>
      </c>
      <c r="E229" s="25" t="s">
        <v>338</v>
      </c>
      <c r="F229" s="25" t="s">
        <v>162</v>
      </c>
      <c r="G229" s="33">
        <v>3500000</v>
      </c>
      <c r="H229" s="25" t="s">
        <v>824</v>
      </c>
      <c r="I229" s="34" t="s">
        <v>340</v>
      </c>
      <c r="J229" s="25">
        <v>2</v>
      </c>
    </row>
    <row r="230" spans="1:10" x14ac:dyDescent="0.25">
      <c r="A230" s="32">
        <v>46280</v>
      </c>
      <c r="B230" s="27" t="s">
        <v>298</v>
      </c>
      <c r="C230" s="25" t="s">
        <v>326</v>
      </c>
      <c r="D230" s="25" t="s">
        <v>825</v>
      </c>
      <c r="E230" s="25" t="s">
        <v>297</v>
      </c>
      <c r="F230" s="25" t="s">
        <v>161</v>
      </c>
      <c r="G230" s="33">
        <v>2000000</v>
      </c>
      <c r="H230" s="25" t="s">
        <v>826</v>
      </c>
      <c r="I230" s="25" t="s">
        <v>156</v>
      </c>
      <c r="J230" s="25"/>
    </row>
    <row r="231" spans="1:10" x14ac:dyDescent="0.25">
      <c r="A231" s="32">
        <v>46280</v>
      </c>
      <c r="B231" s="27" t="s">
        <v>298</v>
      </c>
      <c r="C231" s="25" t="s">
        <v>325</v>
      </c>
      <c r="D231" s="25" t="s">
        <v>827</v>
      </c>
      <c r="E231" s="25" t="s">
        <v>297</v>
      </c>
      <c r="F231" s="25" t="s">
        <v>162</v>
      </c>
      <c r="G231" s="33">
        <v>1700000</v>
      </c>
      <c r="H231" s="25" t="s">
        <v>828</v>
      </c>
      <c r="I231" s="25" t="s">
        <v>156</v>
      </c>
      <c r="J231" s="25"/>
    </row>
    <row r="232" spans="1:10" x14ac:dyDescent="0.25">
      <c r="A232" s="32">
        <v>46280</v>
      </c>
      <c r="B232" s="27" t="s">
        <v>298</v>
      </c>
      <c r="C232" s="25" t="s">
        <v>327</v>
      </c>
      <c r="D232" s="25" t="s">
        <v>829</v>
      </c>
      <c r="E232" s="25" t="s">
        <v>297</v>
      </c>
      <c r="F232" s="25" t="s">
        <v>162</v>
      </c>
      <c r="G232" s="33">
        <v>1700000</v>
      </c>
      <c r="H232" s="25" t="s">
        <v>830</v>
      </c>
      <c r="I232" s="26" t="s">
        <v>269</v>
      </c>
      <c r="J232" s="25">
        <v>2</v>
      </c>
    </row>
    <row r="233" spans="1:10" x14ac:dyDescent="0.25">
      <c r="A233" s="32">
        <v>46280</v>
      </c>
      <c r="B233" s="27" t="s">
        <v>298</v>
      </c>
      <c r="C233" s="25" t="s">
        <v>326</v>
      </c>
      <c r="D233" s="25" t="s">
        <v>831</v>
      </c>
      <c r="E233" s="25" t="s">
        <v>297</v>
      </c>
      <c r="F233" s="25" t="s">
        <v>161</v>
      </c>
      <c r="G233" s="33">
        <v>1700000</v>
      </c>
      <c r="H233" s="25" t="s">
        <v>832</v>
      </c>
      <c r="I233" s="26" t="s">
        <v>270</v>
      </c>
      <c r="J233" s="25">
        <v>2</v>
      </c>
    </row>
    <row r="234" spans="1:10" x14ac:dyDescent="0.25">
      <c r="A234" s="32">
        <v>46280</v>
      </c>
      <c r="B234" s="27" t="s">
        <v>298</v>
      </c>
      <c r="C234" s="25" t="s">
        <v>325</v>
      </c>
      <c r="D234" s="25" t="s">
        <v>833</v>
      </c>
      <c r="E234" s="25" t="s">
        <v>297</v>
      </c>
      <c r="F234" s="25" t="s">
        <v>162</v>
      </c>
      <c r="G234" s="33">
        <v>1700000</v>
      </c>
      <c r="H234" s="25" t="s">
        <v>834</v>
      </c>
      <c r="I234" s="25" t="s">
        <v>156</v>
      </c>
      <c r="J234" s="25"/>
    </row>
    <row r="235" spans="1:10" x14ac:dyDescent="0.25">
      <c r="A235" s="32">
        <v>46280</v>
      </c>
      <c r="B235" s="27" t="s">
        <v>298</v>
      </c>
      <c r="C235" s="25" t="s">
        <v>325</v>
      </c>
      <c r="D235" s="25" t="s">
        <v>835</v>
      </c>
      <c r="E235" s="25" t="s">
        <v>297</v>
      </c>
      <c r="F235" s="25" t="s">
        <v>162</v>
      </c>
      <c r="G235" s="33">
        <v>900000</v>
      </c>
      <c r="H235" s="25" t="s">
        <v>836</v>
      </c>
      <c r="I235" s="26" t="s">
        <v>213</v>
      </c>
      <c r="J235" s="25">
        <v>2</v>
      </c>
    </row>
    <row r="236" spans="1:10" x14ac:dyDescent="0.25">
      <c r="A236" s="32">
        <v>46280</v>
      </c>
      <c r="B236" s="27" t="s">
        <v>298</v>
      </c>
      <c r="C236" s="25" t="s">
        <v>325</v>
      </c>
      <c r="D236" s="25" t="s">
        <v>837</v>
      </c>
      <c r="E236" s="25" t="s">
        <v>297</v>
      </c>
      <c r="F236" s="25" t="s">
        <v>162</v>
      </c>
      <c r="G236" s="33">
        <v>2500000</v>
      </c>
      <c r="H236" s="25" t="s">
        <v>838</v>
      </c>
      <c r="I236" s="26" t="s">
        <v>236</v>
      </c>
      <c r="J236" s="25">
        <v>2</v>
      </c>
    </row>
    <row r="237" spans="1:10" x14ac:dyDescent="0.25">
      <c r="A237" s="32">
        <v>46280</v>
      </c>
      <c r="B237" s="27" t="s">
        <v>298</v>
      </c>
      <c r="C237" s="25" t="s">
        <v>350</v>
      </c>
      <c r="D237" s="25" t="s">
        <v>839</v>
      </c>
      <c r="E237" s="25" t="s">
        <v>297</v>
      </c>
      <c r="F237" s="25" t="s">
        <v>155</v>
      </c>
      <c r="G237" s="33">
        <v>3700000</v>
      </c>
      <c r="H237" s="25" t="s">
        <v>840</v>
      </c>
      <c r="I237" s="26" t="s">
        <v>189</v>
      </c>
      <c r="J237" s="25">
        <v>2</v>
      </c>
    </row>
    <row r="238" spans="1:10" x14ac:dyDescent="0.25">
      <c r="A238" s="32">
        <v>46280</v>
      </c>
      <c r="B238" s="27" t="s">
        <v>298</v>
      </c>
      <c r="C238" s="25" t="s">
        <v>325</v>
      </c>
      <c r="D238" s="25" t="s">
        <v>841</v>
      </c>
      <c r="E238" s="25" t="s">
        <v>297</v>
      </c>
      <c r="F238" s="25" t="s">
        <v>162</v>
      </c>
      <c r="G238" s="33">
        <v>1700000</v>
      </c>
      <c r="H238" s="25" t="s">
        <v>842</v>
      </c>
      <c r="I238" s="26" t="s">
        <v>275</v>
      </c>
      <c r="J238" s="25">
        <v>2</v>
      </c>
    </row>
    <row r="239" spans="1:10" x14ac:dyDescent="0.25">
      <c r="A239" s="32">
        <v>46280</v>
      </c>
      <c r="B239" s="27" t="s">
        <v>298</v>
      </c>
      <c r="C239" s="25" t="s">
        <v>325</v>
      </c>
      <c r="D239" s="25" t="s">
        <v>843</v>
      </c>
      <c r="E239" s="25" t="s">
        <v>297</v>
      </c>
      <c r="F239" s="25" t="s">
        <v>162</v>
      </c>
      <c r="G239" s="33">
        <v>2100000</v>
      </c>
      <c r="H239" s="25" t="s">
        <v>844</v>
      </c>
      <c r="I239" s="26" t="s">
        <v>315</v>
      </c>
      <c r="J239" s="25">
        <v>2</v>
      </c>
    </row>
    <row r="240" spans="1:10" x14ac:dyDescent="0.25">
      <c r="A240" s="32">
        <v>46280</v>
      </c>
      <c r="B240" s="27" t="s">
        <v>298</v>
      </c>
      <c r="C240" s="25" t="s">
        <v>661</v>
      </c>
      <c r="D240" s="25" t="s">
        <v>845</v>
      </c>
      <c r="E240" s="25" t="s">
        <v>167</v>
      </c>
      <c r="F240" s="25" t="s">
        <v>663</v>
      </c>
      <c r="G240" s="33">
        <v>2000000</v>
      </c>
      <c r="H240" s="25" t="s">
        <v>846</v>
      </c>
      <c r="I240" s="25" t="s">
        <v>156</v>
      </c>
      <c r="J240" s="25"/>
    </row>
    <row r="241" spans="1:10" x14ac:dyDescent="0.25">
      <c r="A241" s="32">
        <v>46280</v>
      </c>
      <c r="B241" s="27" t="s">
        <v>298</v>
      </c>
      <c r="C241" s="25" t="s">
        <v>325</v>
      </c>
      <c r="D241" s="25" t="s">
        <v>847</v>
      </c>
      <c r="E241" s="25" t="s">
        <v>297</v>
      </c>
      <c r="F241" s="25" t="s">
        <v>162</v>
      </c>
      <c r="G241" s="33">
        <v>3800000</v>
      </c>
      <c r="H241" s="25" t="s">
        <v>848</v>
      </c>
      <c r="I241" s="25" t="s">
        <v>156</v>
      </c>
      <c r="J241" s="25"/>
    </row>
    <row r="242" spans="1:10" x14ac:dyDescent="0.25">
      <c r="A242" s="32">
        <v>46280</v>
      </c>
      <c r="B242" s="27" t="s">
        <v>298</v>
      </c>
      <c r="C242" s="25" t="s">
        <v>325</v>
      </c>
      <c r="D242" s="25" t="s">
        <v>849</v>
      </c>
      <c r="E242" s="25" t="s">
        <v>297</v>
      </c>
      <c r="F242" s="25" t="s">
        <v>162</v>
      </c>
      <c r="G242" s="33">
        <v>1700000</v>
      </c>
      <c r="H242" s="25" t="s">
        <v>850</v>
      </c>
      <c r="I242" s="26" t="s">
        <v>239</v>
      </c>
      <c r="J242" s="25">
        <v>2</v>
      </c>
    </row>
    <row r="243" spans="1:10" x14ac:dyDescent="0.25">
      <c r="A243" s="32">
        <v>46280</v>
      </c>
      <c r="B243" s="27" t="s">
        <v>298</v>
      </c>
      <c r="C243" s="25" t="s">
        <v>334</v>
      </c>
      <c r="D243" s="25" t="s">
        <v>851</v>
      </c>
      <c r="E243" s="25" t="s">
        <v>297</v>
      </c>
      <c r="F243" s="25" t="s">
        <v>157</v>
      </c>
      <c r="G243" s="33">
        <v>1700000</v>
      </c>
      <c r="H243" s="25" t="s">
        <v>852</v>
      </c>
      <c r="I243" s="25" t="s">
        <v>156</v>
      </c>
      <c r="J243" s="25"/>
    </row>
    <row r="244" spans="1:10" x14ac:dyDescent="0.25">
      <c r="A244" s="32">
        <v>46280</v>
      </c>
      <c r="B244" s="27" t="s">
        <v>298</v>
      </c>
      <c r="C244" s="25" t="s">
        <v>727</v>
      </c>
      <c r="D244" s="25" t="s">
        <v>853</v>
      </c>
      <c r="E244" s="25" t="s">
        <v>338</v>
      </c>
      <c r="F244" s="25" t="s">
        <v>162</v>
      </c>
      <c r="G244" s="33">
        <v>4250000</v>
      </c>
      <c r="H244" s="25" t="s">
        <v>854</v>
      </c>
      <c r="I244" s="26" t="s">
        <v>172</v>
      </c>
      <c r="J244" s="25">
        <v>2</v>
      </c>
    </row>
    <row r="245" spans="1:10" x14ac:dyDescent="0.25">
      <c r="A245" s="32">
        <v>46280</v>
      </c>
      <c r="B245" s="27" t="s">
        <v>298</v>
      </c>
      <c r="C245" s="25" t="s">
        <v>337</v>
      </c>
      <c r="D245" s="25" t="s">
        <v>855</v>
      </c>
      <c r="E245" s="25" t="s">
        <v>338</v>
      </c>
      <c r="F245" s="25" t="s">
        <v>162</v>
      </c>
      <c r="G245" s="33">
        <v>1700000</v>
      </c>
      <c r="H245" s="25" t="s">
        <v>856</v>
      </c>
      <c r="I245" s="26" t="s">
        <v>253</v>
      </c>
      <c r="J245" s="25">
        <v>2</v>
      </c>
    </row>
    <row r="246" spans="1:10" x14ac:dyDescent="0.25">
      <c r="A246" s="32">
        <v>46280</v>
      </c>
      <c r="B246" s="27" t="s">
        <v>298</v>
      </c>
      <c r="C246" s="25" t="s">
        <v>337</v>
      </c>
      <c r="D246" s="25" t="s">
        <v>857</v>
      </c>
      <c r="E246" s="25" t="s">
        <v>338</v>
      </c>
      <c r="F246" s="25" t="s">
        <v>162</v>
      </c>
      <c r="G246" s="33">
        <v>2000000</v>
      </c>
      <c r="H246" s="25" t="s">
        <v>858</v>
      </c>
      <c r="I246" s="34" t="s">
        <v>322</v>
      </c>
      <c r="J246" s="25">
        <v>1</v>
      </c>
    </row>
    <row r="247" spans="1:10" x14ac:dyDescent="0.25">
      <c r="A247" s="32">
        <v>46280</v>
      </c>
      <c r="B247" s="27" t="s">
        <v>298</v>
      </c>
      <c r="C247" s="25" t="s">
        <v>727</v>
      </c>
      <c r="D247" s="25" t="s">
        <v>859</v>
      </c>
      <c r="E247" s="25" t="s">
        <v>338</v>
      </c>
      <c r="F247" s="25" t="s">
        <v>162</v>
      </c>
      <c r="G247" s="33">
        <v>1300000</v>
      </c>
      <c r="H247" s="25" t="s">
        <v>860</v>
      </c>
      <c r="I247" s="25" t="s">
        <v>156</v>
      </c>
      <c r="J247" s="25"/>
    </row>
    <row r="248" spans="1:10" x14ac:dyDescent="0.25">
      <c r="A248" s="32">
        <v>46280</v>
      </c>
      <c r="B248" s="27" t="s">
        <v>298</v>
      </c>
      <c r="C248" s="25" t="s">
        <v>337</v>
      </c>
      <c r="D248" s="25" t="s">
        <v>861</v>
      </c>
      <c r="E248" s="25" t="s">
        <v>338</v>
      </c>
      <c r="F248" s="25" t="s">
        <v>162</v>
      </c>
      <c r="G248" s="33">
        <v>1700000</v>
      </c>
      <c r="H248" s="25" t="s">
        <v>862</v>
      </c>
      <c r="I248" s="25" t="s">
        <v>156</v>
      </c>
      <c r="J248" s="25"/>
    </row>
    <row r="249" spans="1:10" x14ac:dyDescent="0.25">
      <c r="A249" s="32">
        <v>46280</v>
      </c>
      <c r="B249" s="27" t="s">
        <v>298</v>
      </c>
      <c r="C249" s="25" t="s">
        <v>337</v>
      </c>
      <c r="D249" s="25" t="s">
        <v>863</v>
      </c>
      <c r="E249" s="25" t="s">
        <v>338</v>
      </c>
      <c r="F249" s="25" t="s">
        <v>162</v>
      </c>
      <c r="G249" s="33">
        <v>1700000</v>
      </c>
      <c r="H249" s="25" t="s">
        <v>864</v>
      </c>
      <c r="I249" s="26" t="s">
        <v>268</v>
      </c>
      <c r="J249" s="25">
        <v>2</v>
      </c>
    </row>
    <row r="250" spans="1:10" x14ac:dyDescent="0.25">
      <c r="A250" s="32">
        <v>46280</v>
      </c>
      <c r="B250" s="27" t="s">
        <v>298</v>
      </c>
      <c r="C250" s="25" t="s">
        <v>512</v>
      </c>
      <c r="D250" s="25" t="s">
        <v>865</v>
      </c>
      <c r="E250" s="25" t="s">
        <v>338</v>
      </c>
      <c r="F250" s="25" t="s">
        <v>162</v>
      </c>
      <c r="G250" s="33">
        <v>1700000</v>
      </c>
      <c r="H250" s="25" t="s">
        <v>866</v>
      </c>
      <c r="I250" s="26" t="s">
        <v>107</v>
      </c>
      <c r="J250" s="25">
        <v>3</v>
      </c>
    </row>
    <row r="251" spans="1:10" x14ac:dyDescent="0.25">
      <c r="A251" s="32">
        <v>46280</v>
      </c>
      <c r="B251" s="27" t="s">
        <v>298</v>
      </c>
      <c r="C251" s="25" t="s">
        <v>337</v>
      </c>
      <c r="D251" s="25" t="s">
        <v>867</v>
      </c>
      <c r="E251" s="25" t="s">
        <v>338</v>
      </c>
      <c r="F251" s="25" t="s">
        <v>162</v>
      </c>
      <c r="G251" s="33">
        <v>2000000</v>
      </c>
      <c r="H251" s="25" t="s">
        <v>868</v>
      </c>
      <c r="I251" s="26" t="s">
        <v>254</v>
      </c>
      <c r="J251" s="25">
        <v>2</v>
      </c>
    </row>
    <row r="252" spans="1:10" x14ac:dyDescent="0.25">
      <c r="A252" s="32">
        <v>46280</v>
      </c>
      <c r="B252" s="27" t="s">
        <v>298</v>
      </c>
      <c r="C252" s="25" t="s">
        <v>337</v>
      </c>
      <c r="D252" s="25" t="s">
        <v>869</v>
      </c>
      <c r="E252" s="25" t="s">
        <v>338</v>
      </c>
      <c r="F252" s="25" t="s">
        <v>162</v>
      </c>
      <c r="G252" s="33">
        <v>8500000</v>
      </c>
      <c r="H252" s="25" t="s">
        <v>870</v>
      </c>
      <c r="I252" s="25" t="s">
        <v>156</v>
      </c>
      <c r="J252" s="25"/>
    </row>
    <row r="253" spans="1:10" x14ac:dyDescent="0.25">
      <c r="A253" s="32">
        <v>46281</v>
      </c>
      <c r="B253" s="27" t="s">
        <v>298</v>
      </c>
      <c r="C253" s="25" t="s">
        <v>337</v>
      </c>
      <c r="D253" s="25" t="s">
        <v>871</v>
      </c>
      <c r="E253" s="25" t="s">
        <v>338</v>
      </c>
      <c r="F253" s="25" t="s">
        <v>162</v>
      </c>
      <c r="G253" s="33">
        <v>2000000</v>
      </c>
      <c r="H253" s="25" t="s">
        <v>872</v>
      </c>
      <c r="I253" s="26" t="s">
        <v>258</v>
      </c>
      <c r="J253" s="25">
        <v>2</v>
      </c>
    </row>
    <row r="254" spans="1:10" x14ac:dyDescent="0.25">
      <c r="A254" s="32">
        <v>46281</v>
      </c>
      <c r="B254" s="27" t="s">
        <v>298</v>
      </c>
      <c r="C254" s="25" t="s">
        <v>325</v>
      </c>
      <c r="D254" s="25" t="s">
        <v>873</v>
      </c>
      <c r="E254" s="25" t="s">
        <v>297</v>
      </c>
      <c r="F254" s="25" t="s">
        <v>162</v>
      </c>
      <c r="G254" s="33">
        <v>1700000</v>
      </c>
      <c r="H254" s="25" t="s">
        <v>874</v>
      </c>
      <c r="I254" s="26" t="s">
        <v>114</v>
      </c>
      <c r="J254" s="25">
        <v>3</v>
      </c>
    </row>
    <row r="255" spans="1:10" x14ac:dyDescent="0.25">
      <c r="A255" s="32">
        <v>46281</v>
      </c>
      <c r="B255" s="27" t="s">
        <v>298</v>
      </c>
      <c r="C255" s="25" t="s">
        <v>325</v>
      </c>
      <c r="D255" s="25" t="s">
        <v>875</v>
      </c>
      <c r="E255" s="25" t="s">
        <v>297</v>
      </c>
      <c r="F255" s="25" t="s">
        <v>162</v>
      </c>
      <c r="G255" s="33">
        <v>2000000</v>
      </c>
      <c r="H255" s="25" t="s">
        <v>876</v>
      </c>
      <c r="I255" s="26" t="s">
        <v>249</v>
      </c>
      <c r="J255" s="25">
        <v>2</v>
      </c>
    </row>
    <row r="256" spans="1:10" x14ac:dyDescent="0.25">
      <c r="A256" s="32">
        <v>46281</v>
      </c>
      <c r="B256" s="27" t="s">
        <v>298</v>
      </c>
      <c r="C256" s="25" t="s">
        <v>325</v>
      </c>
      <c r="D256" s="25" t="s">
        <v>877</v>
      </c>
      <c r="E256" s="25" t="s">
        <v>297</v>
      </c>
      <c r="F256" s="25" t="s">
        <v>162</v>
      </c>
      <c r="G256" s="33">
        <v>1300000</v>
      </c>
      <c r="H256" s="25" t="s">
        <v>878</v>
      </c>
      <c r="I256" s="25" t="s">
        <v>156</v>
      </c>
      <c r="J256" s="25"/>
    </row>
    <row r="257" spans="1:10" x14ac:dyDescent="0.25">
      <c r="A257" s="32">
        <v>46281</v>
      </c>
      <c r="B257" s="27" t="s">
        <v>298</v>
      </c>
      <c r="C257" s="25" t="s">
        <v>325</v>
      </c>
      <c r="D257" s="25" t="s">
        <v>879</v>
      </c>
      <c r="E257" s="25" t="s">
        <v>297</v>
      </c>
      <c r="F257" s="25" t="s">
        <v>162</v>
      </c>
      <c r="G257" s="33">
        <v>1700000</v>
      </c>
      <c r="H257" s="25" t="s">
        <v>880</v>
      </c>
      <c r="I257" s="25" t="s">
        <v>156</v>
      </c>
      <c r="J257" s="25"/>
    </row>
    <row r="258" spans="1:10" x14ac:dyDescent="0.25">
      <c r="A258" s="32">
        <v>46281</v>
      </c>
      <c r="B258" s="27" t="s">
        <v>298</v>
      </c>
      <c r="C258" s="25" t="s">
        <v>335</v>
      </c>
      <c r="D258" s="25" t="s">
        <v>881</v>
      </c>
      <c r="E258" s="25" t="s">
        <v>167</v>
      </c>
      <c r="F258" s="25" t="s">
        <v>160</v>
      </c>
      <c r="G258" s="33">
        <v>1700000</v>
      </c>
      <c r="H258" s="25" t="s">
        <v>882</v>
      </c>
      <c r="I258" s="25" t="s">
        <v>156</v>
      </c>
      <c r="J258" s="25"/>
    </row>
    <row r="259" spans="1:10" x14ac:dyDescent="0.25">
      <c r="A259" s="32">
        <v>46281</v>
      </c>
      <c r="B259" s="27" t="s">
        <v>298</v>
      </c>
      <c r="C259" s="25" t="s">
        <v>325</v>
      </c>
      <c r="D259" s="25" t="s">
        <v>883</v>
      </c>
      <c r="E259" s="25" t="s">
        <v>297</v>
      </c>
      <c r="F259" s="25" t="s">
        <v>162</v>
      </c>
      <c r="G259" s="33">
        <v>1700000</v>
      </c>
      <c r="H259" s="25" t="s">
        <v>884</v>
      </c>
      <c r="I259" s="26" t="s">
        <v>202</v>
      </c>
      <c r="J259" s="25">
        <v>2</v>
      </c>
    </row>
    <row r="260" spans="1:10" x14ac:dyDescent="0.25">
      <c r="A260" s="32">
        <v>46281</v>
      </c>
      <c r="B260" s="27" t="s">
        <v>298</v>
      </c>
      <c r="C260" s="25" t="s">
        <v>327</v>
      </c>
      <c r="D260" s="25" t="s">
        <v>885</v>
      </c>
      <c r="E260" s="25" t="s">
        <v>297</v>
      </c>
      <c r="F260" s="25" t="s">
        <v>162</v>
      </c>
      <c r="G260" s="33">
        <v>1700000</v>
      </c>
      <c r="H260" s="25" t="s">
        <v>886</v>
      </c>
      <c r="I260" s="26" t="s">
        <v>286</v>
      </c>
      <c r="J260" s="25">
        <v>2</v>
      </c>
    </row>
    <row r="261" spans="1:10" x14ac:dyDescent="0.25">
      <c r="A261" s="32">
        <v>46281</v>
      </c>
      <c r="B261" s="27" t="s">
        <v>298</v>
      </c>
      <c r="C261" s="25" t="s">
        <v>325</v>
      </c>
      <c r="D261" s="25" t="s">
        <v>887</v>
      </c>
      <c r="E261" s="25" t="s">
        <v>297</v>
      </c>
      <c r="F261" s="25" t="s">
        <v>162</v>
      </c>
      <c r="G261" s="33">
        <v>1000000</v>
      </c>
      <c r="H261" s="25" t="s">
        <v>888</v>
      </c>
      <c r="I261" s="26" t="s">
        <v>130</v>
      </c>
      <c r="J261" s="25">
        <v>3</v>
      </c>
    </row>
    <row r="262" spans="1:10" x14ac:dyDescent="0.25">
      <c r="A262" s="32">
        <v>46282</v>
      </c>
      <c r="B262" s="27" t="s">
        <v>298</v>
      </c>
      <c r="C262" s="25" t="s">
        <v>325</v>
      </c>
      <c r="D262" s="25" t="s">
        <v>889</v>
      </c>
      <c r="E262" s="25" t="s">
        <v>297</v>
      </c>
      <c r="F262" s="25" t="s">
        <v>162</v>
      </c>
      <c r="G262" s="33">
        <v>1000000</v>
      </c>
      <c r="H262" s="25" t="s">
        <v>890</v>
      </c>
      <c r="I262" s="25" t="s">
        <v>156</v>
      </c>
      <c r="J262" s="25"/>
    </row>
    <row r="263" spans="1:10" x14ac:dyDescent="0.25">
      <c r="A263" s="32">
        <v>46282</v>
      </c>
      <c r="B263" s="27" t="s">
        <v>298</v>
      </c>
      <c r="C263" s="25" t="s">
        <v>325</v>
      </c>
      <c r="D263" s="25" t="s">
        <v>891</v>
      </c>
      <c r="E263" s="25" t="s">
        <v>297</v>
      </c>
      <c r="F263" s="25" t="s">
        <v>162</v>
      </c>
      <c r="G263" s="33">
        <v>1700000</v>
      </c>
      <c r="H263" s="25" t="s">
        <v>892</v>
      </c>
      <c r="I263" s="26" t="s">
        <v>240</v>
      </c>
      <c r="J263" s="25">
        <v>2</v>
      </c>
    </row>
    <row r="264" spans="1:10" x14ac:dyDescent="0.25">
      <c r="A264" s="32">
        <v>46282</v>
      </c>
      <c r="B264" s="27" t="s">
        <v>298</v>
      </c>
      <c r="C264" s="25" t="s">
        <v>331</v>
      </c>
      <c r="D264" s="25" t="s">
        <v>893</v>
      </c>
      <c r="E264" s="25" t="s">
        <v>297</v>
      </c>
      <c r="F264" s="25" t="s">
        <v>162</v>
      </c>
      <c r="G264" s="33">
        <v>450000</v>
      </c>
      <c r="H264" s="25" t="s">
        <v>894</v>
      </c>
      <c r="I264" s="26" t="s">
        <v>256</v>
      </c>
      <c r="J264" s="25">
        <v>2</v>
      </c>
    </row>
    <row r="265" spans="1:10" x14ac:dyDescent="0.25">
      <c r="A265" s="32">
        <v>46282</v>
      </c>
      <c r="B265" s="27" t="s">
        <v>298</v>
      </c>
      <c r="C265" s="25" t="s">
        <v>331</v>
      </c>
      <c r="D265" s="25" t="s">
        <v>895</v>
      </c>
      <c r="E265" s="25" t="s">
        <v>297</v>
      </c>
      <c r="F265" s="25" t="s">
        <v>162</v>
      </c>
      <c r="G265" s="33">
        <v>1250000</v>
      </c>
      <c r="H265" s="25" t="s">
        <v>896</v>
      </c>
      <c r="I265" s="26" t="s">
        <v>256</v>
      </c>
      <c r="J265" s="25">
        <v>2</v>
      </c>
    </row>
    <row r="266" spans="1:10" x14ac:dyDescent="0.25">
      <c r="A266" s="32">
        <v>46282</v>
      </c>
      <c r="B266" s="27" t="s">
        <v>298</v>
      </c>
      <c r="C266" s="25" t="s">
        <v>325</v>
      </c>
      <c r="D266" s="25" t="s">
        <v>897</v>
      </c>
      <c r="E266" s="25" t="s">
        <v>297</v>
      </c>
      <c r="F266" s="25" t="s">
        <v>162</v>
      </c>
      <c r="G266" s="33">
        <v>3400000</v>
      </c>
      <c r="H266" s="25" t="s">
        <v>898</v>
      </c>
      <c r="I266" s="25" t="s">
        <v>156</v>
      </c>
      <c r="J266" s="25"/>
    </row>
    <row r="267" spans="1:10" x14ac:dyDescent="0.25">
      <c r="A267" s="32">
        <v>46282</v>
      </c>
      <c r="B267" s="27" t="s">
        <v>298</v>
      </c>
      <c r="C267" s="25" t="s">
        <v>327</v>
      </c>
      <c r="D267" s="25" t="s">
        <v>899</v>
      </c>
      <c r="E267" s="25" t="s">
        <v>297</v>
      </c>
      <c r="F267" s="25" t="s">
        <v>162</v>
      </c>
      <c r="G267" s="33">
        <v>1700000</v>
      </c>
      <c r="H267" s="25" t="s">
        <v>900</v>
      </c>
      <c r="I267" s="26" t="s">
        <v>276</v>
      </c>
      <c r="J267" s="25">
        <v>2</v>
      </c>
    </row>
    <row r="268" spans="1:10" x14ac:dyDescent="0.25">
      <c r="A268" s="32">
        <v>46282</v>
      </c>
      <c r="B268" s="27" t="s">
        <v>298</v>
      </c>
      <c r="C268" s="25" t="s">
        <v>325</v>
      </c>
      <c r="D268" s="25" t="s">
        <v>901</v>
      </c>
      <c r="E268" s="25" t="s">
        <v>297</v>
      </c>
      <c r="F268" s="25" t="s">
        <v>162</v>
      </c>
      <c r="G268" s="33">
        <v>1650000</v>
      </c>
      <c r="H268" s="25" t="s">
        <v>902</v>
      </c>
      <c r="I268" s="25" t="s">
        <v>156</v>
      </c>
      <c r="J268" s="25"/>
    </row>
    <row r="269" spans="1:10" x14ac:dyDescent="0.25">
      <c r="A269" s="32">
        <v>46282</v>
      </c>
      <c r="B269" s="27" t="s">
        <v>298</v>
      </c>
      <c r="C269" s="25" t="s">
        <v>325</v>
      </c>
      <c r="D269" s="25" t="s">
        <v>903</v>
      </c>
      <c r="E269" s="25" t="s">
        <v>297</v>
      </c>
      <c r="F269" s="25" t="s">
        <v>162</v>
      </c>
      <c r="G269" s="33">
        <v>1800000</v>
      </c>
      <c r="H269" s="25" t="s">
        <v>904</v>
      </c>
      <c r="I269" s="26" t="s">
        <v>204</v>
      </c>
      <c r="J269" s="25">
        <v>2</v>
      </c>
    </row>
    <row r="270" spans="1:10" x14ac:dyDescent="0.25">
      <c r="A270" s="32">
        <v>46282</v>
      </c>
      <c r="B270" s="27" t="s">
        <v>298</v>
      </c>
      <c r="C270" s="25" t="s">
        <v>325</v>
      </c>
      <c r="D270" s="25" t="s">
        <v>905</v>
      </c>
      <c r="E270" s="25" t="s">
        <v>297</v>
      </c>
      <c r="F270" s="25" t="s">
        <v>162</v>
      </c>
      <c r="G270" s="33">
        <v>1700000</v>
      </c>
      <c r="H270" s="25" t="s">
        <v>906</v>
      </c>
      <c r="I270" s="25" t="s">
        <v>156</v>
      </c>
      <c r="J270" s="25"/>
    </row>
    <row r="271" spans="1:10" x14ac:dyDescent="0.25">
      <c r="A271" s="32">
        <v>46282</v>
      </c>
      <c r="B271" s="27" t="s">
        <v>298</v>
      </c>
      <c r="C271" s="25" t="s">
        <v>324</v>
      </c>
      <c r="D271" s="25" t="s">
        <v>907</v>
      </c>
      <c r="E271" s="25" t="s">
        <v>297</v>
      </c>
      <c r="F271" s="25" t="s">
        <v>162</v>
      </c>
      <c r="G271" s="33">
        <v>1000000</v>
      </c>
      <c r="H271" s="25" t="s">
        <v>908</v>
      </c>
      <c r="I271" s="25" t="s">
        <v>341</v>
      </c>
      <c r="J271" s="25">
        <v>2</v>
      </c>
    </row>
    <row r="272" spans="1:10" x14ac:dyDescent="0.25">
      <c r="A272" s="32">
        <v>46282</v>
      </c>
      <c r="B272" s="27" t="s">
        <v>298</v>
      </c>
      <c r="C272" s="25" t="s">
        <v>325</v>
      </c>
      <c r="D272" s="25" t="s">
        <v>909</v>
      </c>
      <c r="E272" s="25" t="s">
        <v>297</v>
      </c>
      <c r="F272" s="25" t="s">
        <v>162</v>
      </c>
      <c r="G272" s="33">
        <v>1800000</v>
      </c>
      <c r="H272" s="25" t="s">
        <v>910</v>
      </c>
      <c r="I272" s="25" t="s">
        <v>320</v>
      </c>
      <c r="J272" s="25">
        <v>2</v>
      </c>
    </row>
    <row r="273" spans="1:10" x14ac:dyDescent="0.25">
      <c r="A273" s="32">
        <v>46283</v>
      </c>
      <c r="B273" s="27" t="s">
        <v>298</v>
      </c>
      <c r="C273" s="25" t="s">
        <v>337</v>
      </c>
      <c r="D273" s="25" t="s">
        <v>911</v>
      </c>
      <c r="E273" s="25" t="s">
        <v>338</v>
      </c>
      <c r="F273" s="25" t="s">
        <v>162</v>
      </c>
      <c r="G273" s="33">
        <v>700000</v>
      </c>
      <c r="H273" s="25" t="s">
        <v>912</v>
      </c>
      <c r="I273" s="25" t="s">
        <v>156</v>
      </c>
      <c r="J273" s="25"/>
    </row>
    <row r="274" spans="1:10" x14ac:dyDescent="0.25">
      <c r="A274" s="32">
        <v>46283</v>
      </c>
      <c r="B274" s="27" t="s">
        <v>298</v>
      </c>
      <c r="C274" s="25" t="s">
        <v>337</v>
      </c>
      <c r="D274" s="25" t="s">
        <v>913</v>
      </c>
      <c r="E274" s="25" t="s">
        <v>338</v>
      </c>
      <c r="F274" s="25" t="s">
        <v>162</v>
      </c>
      <c r="G274" s="33">
        <v>1000000</v>
      </c>
      <c r="H274" s="25" t="s">
        <v>914</v>
      </c>
      <c r="I274" s="25" t="s">
        <v>156</v>
      </c>
      <c r="J274" s="25"/>
    </row>
    <row r="275" spans="1:10" x14ac:dyDescent="0.25">
      <c r="A275" s="32">
        <v>46283</v>
      </c>
      <c r="B275" s="27" t="s">
        <v>298</v>
      </c>
      <c r="C275" s="25" t="s">
        <v>337</v>
      </c>
      <c r="D275" s="25" t="s">
        <v>915</v>
      </c>
      <c r="E275" s="25" t="s">
        <v>338</v>
      </c>
      <c r="F275" s="25" t="s">
        <v>162</v>
      </c>
      <c r="G275" s="33">
        <v>1700000</v>
      </c>
      <c r="H275" s="25" t="s">
        <v>916</v>
      </c>
      <c r="I275" s="25" t="s">
        <v>156</v>
      </c>
      <c r="J275" s="25"/>
    </row>
    <row r="276" spans="1:10" x14ac:dyDescent="0.25">
      <c r="A276" s="32">
        <v>46283</v>
      </c>
      <c r="B276" s="27" t="s">
        <v>298</v>
      </c>
      <c r="C276" s="25" t="s">
        <v>337</v>
      </c>
      <c r="D276" s="25" t="s">
        <v>917</v>
      </c>
      <c r="E276" s="25" t="s">
        <v>338</v>
      </c>
      <c r="F276" s="25" t="s">
        <v>162</v>
      </c>
      <c r="G276" s="33">
        <v>1000000</v>
      </c>
      <c r="H276" s="25" t="s">
        <v>918</v>
      </c>
      <c r="I276" s="25" t="s">
        <v>156</v>
      </c>
      <c r="J276" s="25"/>
    </row>
    <row r="277" spans="1:10" x14ac:dyDescent="0.25">
      <c r="A277" s="32">
        <v>46283</v>
      </c>
      <c r="B277" s="27" t="s">
        <v>298</v>
      </c>
      <c r="C277" s="25" t="s">
        <v>337</v>
      </c>
      <c r="D277" s="25" t="s">
        <v>919</v>
      </c>
      <c r="E277" s="25" t="s">
        <v>338</v>
      </c>
      <c r="F277" s="25" t="s">
        <v>162</v>
      </c>
      <c r="G277" s="33">
        <v>1700000</v>
      </c>
      <c r="H277" s="25" t="s">
        <v>920</v>
      </c>
      <c r="I277" s="25" t="s">
        <v>156</v>
      </c>
      <c r="J277" s="25"/>
    </row>
    <row r="278" spans="1:10" x14ac:dyDescent="0.25">
      <c r="A278" s="32">
        <v>46283</v>
      </c>
      <c r="B278" s="27" t="s">
        <v>298</v>
      </c>
      <c r="C278" s="25" t="s">
        <v>921</v>
      </c>
      <c r="D278" s="25" t="s">
        <v>922</v>
      </c>
      <c r="E278" s="25" t="s">
        <v>167</v>
      </c>
      <c r="F278" s="25" t="s">
        <v>194</v>
      </c>
      <c r="G278" s="33">
        <v>4500000</v>
      </c>
      <c r="H278" s="25" t="s">
        <v>923</v>
      </c>
      <c r="I278" s="25" t="s">
        <v>156</v>
      </c>
      <c r="J278" s="25"/>
    </row>
    <row r="279" spans="1:10" x14ac:dyDescent="0.25">
      <c r="A279" s="32">
        <v>46283</v>
      </c>
      <c r="B279" s="27" t="s">
        <v>298</v>
      </c>
      <c r="C279" s="25" t="s">
        <v>324</v>
      </c>
      <c r="D279" s="25" t="s">
        <v>924</v>
      </c>
      <c r="E279" s="25" t="s">
        <v>297</v>
      </c>
      <c r="F279" s="25" t="s">
        <v>162</v>
      </c>
      <c r="G279" s="33">
        <v>1000000</v>
      </c>
      <c r="H279" s="25" t="s">
        <v>925</v>
      </c>
      <c r="I279" s="25" t="s">
        <v>156</v>
      </c>
      <c r="J279" s="25"/>
    </row>
    <row r="280" spans="1:10" x14ac:dyDescent="0.25">
      <c r="A280" s="32">
        <v>46283</v>
      </c>
      <c r="B280" s="27" t="s">
        <v>298</v>
      </c>
      <c r="C280" s="25" t="s">
        <v>347</v>
      </c>
      <c r="D280" s="25" t="s">
        <v>926</v>
      </c>
      <c r="E280" s="25" t="s">
        <v>297</v>
      </c>
      <c r="F280" s="25" t="s">
        <v>162</v>
      </c>
      <c r="G280" s="33">
        <v>1700000</v>
      </c>
      <c r="H280" s="25" t="s">
        <v>927</v>
      </c>
      <c r="I280" s="26" t="s">
        <v>128</v>
      </c>
      <c r="J280" s="25">
        <v>3</v>
      </c>
    </row>
    <row r="281" spans="1:10" x14ac:dyDescent="0.25">
      <c r="A281" s="32">
        <v>46283</v>
      </c>
      <c r="B281" s="27" t="s">
        <v>298</v>
      </c>
      <c r="C281" s="25" t="s">
        <v>928</v>
      </c>
      <c r="D281" s="25" t="s">
        <v>929</v>
      </c>
      <c r="E281" s="25" t="s">
        <v>297</v>
      </c>
      <c r="F281" s="25" t="s">
        <v>194</v>
      </c>
      <c r="G281" s="33">
        <v>1700000</v>
      </c>
      <c r="H281" s="25" t="s">
        <v>930</v>
      </c>
      <c r="I281" s="25" t="s">
        <v>156</v>
      </c>
      <c r="J281" s="25"/>
    </row>
    <row r="282" spans="1:10" x14ac:dyDescent="0.25">
      <c r="A282" s="32">
        <v>46283</v>
      </c>
      <c r="B282" s="27" t="s">
        <v>298</v>
      </c>
      <c r="C282" s="25" t="s">
        <v>325</v>
      </c>
      <c r="D282" s="25" t="s">
        <v>931</v>
      </c>
      <c r="E282" s="25" t="s">
        <v>297</v>
      </c>
      <c r="F282" s="25" t="s">
        <v>162</v>
      </c>
      <c r="G282" s="33">
        <v>1700000</v>
      </c>
      <c r="H282" s="25" t="s">
        <v>932</v>
      </c>
      <c r="I282" s="25" t="s">
        <v>156</v>
      </c>
      <c r="J282" s="25"/>
    </row>
    <row r="283" spans="1:10" x14ac:dyDescent="0.25">
      <c r="A283" s="32">
        <v>46283</v>
      </c>
      <c r="B283" s="27" t="s">
        <v>298</v>
      </c>
      <c r="C283" s="25" t="s">
        <v>326</v>
      </c>
      <c r="D283" s="25" t="s">
        <v>933</v>
      </c>
      <c r="E283" s="25" t="s">
        <v>297</v>
      </c>
      <c r="F283" s="25" t="s">
        <v>161</v>
      </c>
      <c r="G283" s="33">
        <v>1700000</v>
      </c>
      <c r="H283" s="25" t="s">
        <v>934</v>
      </c>
      <c r="I283" s="26" t="s">
        <v>208</v>
      </c>
      <c r="J283" s="25">
        <v>2</v>
      </c>
    </row>
    <row r="284" spans="1:10" x14ac:dyDescent="0.25">
      <c r="A284" s="32">
        <v>46283</v>
      </c>
      <c r="B284" s="27" t="s">
        <v>298</v>
      </c>
      <c r="C284" s="25" t="s">
        <v>326</v>
      </c>
      <c r="D284" s="25" t="s">
        <v>935</v>
      </c>
      <c r="E284" s="25" t="s">
        <v>297</v>
      </c>
      <c r="F284" s="25" t="s">
        <v>161</v>
      </c>
      <c r="G284" s="33">
        <v>1700000</v>
      </c>
      <c r="H284" s="25" t="s">
        <v>936</v>
      </c>
      <c r="I284" s="26" t="s">
        <v>200</v>
      </c>
      <c r="J284" s="25">
        <v>2</v>
      </c>
    </row>
    <row r="285" spans="1:10" x14ac:dyDescent="0.25">
      <c r="A285" s="32">
        <v>46283</v>
      </c>
      <c r="B285" s="27" t="s">
        <v>298</v>
      </c>
      <c r="C285" s="25" t="s">
        <v>937</v>
      </c>
      <c r="D285" s="25" t="s">
        <v>938</v>
      </c>
      <c r="E285" s="25" t="s">
        <v>297</v>
      </c>
      <c r="F285" s="25" t="s">
        <v>615</v>
      </c>
      <c r="G285" s="33">
        <v>1700000</v>
      </c>
      <c r="H285" s="25" t="s">
        <v>939</v>
      </c>
      <c r="I285" s="26" t="s">
        <v>129</v>
      </c>
      <c r="J285" s="25">
        <v>3</v>
      </c>
    </row>
    <row r="286" spans="1:10" x14ac:dyDescent="0.25">
      <c r="A286" s="32">
        <v>46283</v>
      </c>
      <c r="B286" s="27" t="s">
        <v>298</v>
      </c>
      <c r="C286" s="25" t="s">
        <v>323</v>
      </c>
      <c r="D286" s="25" t="s">
        <v>940</v>
      </c>
      <c r="E286" s="25" t="s">
        <v>297</v>
      </c>
      <c r="F286" s="25" t="s">
        <v>162</v>
      </c>
      <c r="G286" s="33">
        <v>1700000</v>
      </c>
      <c r="H286" s="25" t="s">
        <v>941</v>
      </c>
      <c r="I286" s="26" t="s">
        <v>99</v>
      </c>
      <c r="J286" s="25">
        <v>3</v>
      </c>
    </row>
    <row r="287" spans="1:10" x14ac:dyDescent="0.25">
      <c r="A287" s="32">
        <v>46283</v>
      </c>
      <c r="B287" s="27" t="s">
        <v>298</v>
      </c>
      <c r="C287" s="25" t="s">
        <v>333</v>
      </c>
      <c r="D287" s="25" t="s">
        <v>942</v>
      </c>
      <c r="E287" s="25" t="s">
        <v>167</v>
      </c>
      <c r="F287" s="25" t="s">
        <v>154</v>
      </c>
      <c r="G287" s="33">
        <v>1177000</v>
      </c>
      <c r="H287" s="25" t="s">
        <v>943</v>
      </c>
      <c r="I287" s="25" t="s">
        <v>156</v>
      </c>
      <c r="J287" s="25"/>
    </row>
    <row r="288" spans="1:10" x14ac:dyDescent="0.25">
      <c r="A288" s="32">
        <v>46283</v>
      </c>
      <c r="B288" s="27" t="s">
        <v>298</v>
      </c>
      <c r="C288" s="25" t="s">
        <v>325</v>
      </c>
      <c r="D288" s="25" t="s">
        <v>944</v>
      </c>
      <c r="E288" s="25" t="s">
        <v>297</v>
      </c>
      <c r="F288" s="25" t="s">
        <v>162</v>
      </c>
      <c r="G288" s="33">
        <v>1700000</v>
      </c>
      <c r="H288" s="25" t="s">
        <v>945</v>
      </c>
      <c r="I288" s="25" t="s">
        <v>156</v>
      </c>
      <c r="J288" s="25"/>
    </row>
    <row r="289" spans="1:10" x14ac:dyDescent="0.25">
      <c r="A289" s="32">
        <v>46283</v>
      </c>
      <c r="B289" s="27" t="s">
        <v>298</v>
      </c>
      <c r="C289" s="25" t="s">
        <v>325</v>
      </c>
      <c r="D289" s="25" t="s">
        <v>946</v>
      </c>
      <c r="E289" s="25" t="s">
        <v>297</v>
      </c>
      <c r="F289" s="25" t="s">
        <v>162</v>
      </c>
      <c r="G289" s="33">
        <v>1500000</v>
      </c>
      <c r="H289" s="25" t="s">
        <v>947</v>
      </c>
      <c r="I289" s="26" t="s">
        <v>146</v>
      </c>
      <c r="J289" s="25">
        <v>2</v>
      </c>
    </row>
    <row r="290" spans="1:10" x14ac:dyDescent="0.25">
      <c r="A290" s="32">
        <v>46283</v>
      </c>
      <c r="B290" s="27" t="s">
        <v>298</v>
      </c>
      <c r="C290" s="25" t="s">
        <v>326</v>
      </c>
      <c r="D290" s="25" t="s">
        <v>948</v>
      </c>
      <c r="E290" s="25" t="s">
        <v>297</v>
      </c>
      <c r="F290" s="25" t="s">
        <v>161</v>
      </c>
      <c r="G290" s="33">
        <v>1700000</v>
      </c>
      <c r="H290" s="25" t="s">
        <v>949</v>
      </c>
      <c r="I290" s="25" t="s">
        <v>156</v>
      </c>
      <c r="J290" s="25"/>
    </row>
    <row r="291" spans="1:10" x14ac:dyDescent="0.25">
      <c r="A291" s="32">
        <v>46283</v>
      </c>
      <c r="B291" s="27" t="s">
        <v>298</v>
      </c>
      <c r="C291" s="25" t="s">
        <v>326</v>
      </c>
      <c r="D291" s="25" t="s">
        <v>950</v>
      </c>
      <c r="E291" s="25" t="s">
        <v>297</v>
      </c>
      <c r="F291" s="25" t="s">
        <v>161</v>
      </c>
      <c r="G291" s="33">
        <v>1700000</v>
      </c>
      <c r="H291" s="25" t="s">
        <v>951</v>
      </c>
      <c r="I291" s="25" t="s">
        <v>156</v>
      </c>
      <c r="J291" s="25"/>
    </row>
    <row r="292" spans="1:10" x14ac:dyDescent="0.25">
      <c r="A292" s="32">
        <v>46283</v>
      </c>
      <c r="B292" s="27" t="s">
        <v>298</v>
      </c>
      <c r="C292" s="25" t="s">
        <v>326</v>
      </c>
      <c r="D292" s="25" t="s">
        <v>952</v>
      </c>
      <c r="E292" s="25" t="s">
        <v>297</v>
      </c>
      <c r="F292" s="25" t="s">
        <v>161</v>
      </c>
      <c r="G292" s="33">
        <v>1700000</v>
      </c>
      <c r="H292" s="25" t="s">
        <v>953</v>
      </c>
      <c r="I292" s="25" t="s">
        <v>156</v>
      </c>
      <c r="J292" s="25"/>
    </row>
    <row r="293" spans="1:10" x14ac:dyDescent="0.25">
      <c r="A293" s="32">
        <v>46283</v>
      </c>
      <c r="B293" s="27" t="s">
        <v>298</v>
      </c>
      <c r="C293" s="25" t="s">
        <v>325</v>
      </c>
      <c r="D293" s="25" t="s">
        <v>954</v>
      </c>
      <c r="E293" s="25" t="s">
        <v>297</v>
      </c>
      <c r="F293" s="25" t="s">
        <v>162</v>
      </c>
      <c r="G293" s="33">
        <v>3900000</v>
      </c>
      <c r="H293" s="25" t="s">
        <v>955</v>
      </c>
      <c r="I293" s="26" t="s">
        <v>282</v>
      </c>
      <c r="J293" s="25">
        <v>2</v>
      </c>
    </row>
    <row r="294" spans="1:10" x14ac:dyDescent="0.25">
      <c r="A294" s="32">
        <v>46283</v>
      </c>
      <c r="B294" s="27" t="s">
        <v>298</v>
      </c>
      <c r="C294" s="25" t="s">
        <v>324</v>
      </c>
      <c r="D294" s="25" t="s">
        <v>956</v>
      </c>
      <c r="E294" s="25" t="s">
        <v>297</v>
      </c>
      <c r="F294" s="25" t="s">
        <v>162</v>
      </c>
      <c r="G294" s="33">
        <v>1700000</v>
      </c>
      <c r="H294" s="25" t="s">
        <v>957</v>
      </c>
      <c r="I294" s="26" t="s">
        <v>257</v>
      </c>
      <c r="J294" s="25">
        <v>2</v>
      </c>
    </row>
    <row r="295" spans="1:10" x14ac:dyDescent="0.25">
      <c r="A295" s="32">
        <v>46283</v>
      </c>
      <c r="B295" s="27" t="s">
        <v>298</v>
      </c>
      <c r="C295" s="25" t="s">
        <v>326</v>
      </c>
      <c r="D295" s="25" t="s">
        <v>958</v>
      </c>
      <c r="E295" s="25" t="s">
        <v>297</v>
      </c>
      <c r="F295" s="25" t="s">
        <v>161</v>
      </c>
      <c r="G295" s="33">
        <v>1000000</v>
      </c>
      <c r="H295" s="25" t="s">
        <v>959</v>
      </c>
      <c r="I295" s="26" t="s">
        <v>138</v>
      </c>
      <c r="J295" s="25">
        <v>3</v>
      </c>
    </row>
    <row r="296" spans="1:10" x14ac:dyDescent="0.25">
      <c r="A296" s="32">
        <v>46286</v>
      </c>
      <c r="B296" s="27" t="s">
        <v>298</v>
      </c>
      <c r="C296" s="25" t="s">
        <v>337</v>
      </c>
      <c r="D296" s="25" t="s">
        <v>960</v>
      </c>
      <c r="E296" s="25" t="s">
        <v>338</v>
      </c>
      <c r="F296" s="25" t="s">
        <v>162</v>
      </c>
      <c r="G296" s="33">
        <v>1600000</v>
      </c>
      <c r="H296" s="25" t="s">
        <v>961</v>
      </c>
      <c r="I296" s="26" t="s">
        <v>285</v>
      </c>
      <c r="J296" s="25">
        <v>2</v>
      </c>
    </row>
    <row r="297" spans="1:10" x14ac:dyDescent="0.25">
      <c r="A297" s="32">
        <v>46286</v>
      </c>
      <c r="B297" s="27" t="s">
        <v>298</v>
      </c>
      <c r="C297" s="25" t="s">
        <v>727</v>
      </c>
      <c r="D297" s="25" t="s">
        <v>962</v>
      </c>
      <c r="E297" s="25" t="s">
        <v>338</v>
      </c>
      <c r="F297" s="25" t="s">
        <v>162</v>
      </c>
      <c r="G297" s="33">
        <v>1700000</v>
      </c>
      <c r="H297" s="25" t="s">
        <v>963</v>
      </c>
      <c r="I297" s="26" t="s">
        <v>108</v>
      </c>
      <c r="J297" s="25">
        <v>3</v>
      </c>
    </row>
    <row r="298" spans="1:10" x14ac:dyDescent="0.25">
      <c r="A298" s="32">
        <v>46286</v>
      </c>
      <c r="B298" s="27" t="s">
        <v>298</v>
      </c>
      <c r="C298" s="25" t="s">
        <v>727</v>
      </c>
      <c r="D298" s="25" t="s">
        <v>964</v>
      </c>
      <c r="E298" s="25" t="s">
        <v>338</v>
      </c>
      <c r="F298" s="25" t="s">
        <v>162</v>
      </c>
      <c r="G298" s="33">
        <v>1275000</v>
      </c>
      <c r="H298" s="25" t="s">
        <v>965</v>
      </c>
      <c r="I298" s="26" t="s">
        <v>221</v>
      </c>
      <c r="J298" s="25">
        <v>2</v>
      </c>
    </row>
    <row r="299" spans="1:10" x14ac:dyDescent="0.25">
      <c r="A299" s="32">
        <v>46286</v>
      </c>
      <c r="B299" s="27" t="s">
        <v>298</v>
      </c>
      <c r="C299" s="25" t="s">
        <v>337</v>
      </c>
      <c r="D299" s="25" t="s">
        <v>966</v>
      </c>
      <c r="E299" s="25" t="s">
        <v>338</v>
      </c>
      <c r="F299" s="25" t="s">
        <v>162</v>
      </c>
      <c r="G299" s="33">
        <v>3500000</v>
      </c>
      <c r="H299" s="25" t="s">
        <v>967</v>
      </c>
      <c r="I299" s="26" t="s">
        <v>207</v>
      </c>
      <c r="J299" s="25">
        <v>2</v>
      </c>
    </row>
    <row r="300" spans="1:10" x14ac:dyDescent="0.25">
      <c r="A300" s="32">
        <v>46286</v>
      </c>
      <c r="B300" s="27" t="s">
        <v>298</v>
      </c>
      <c r="C300" s="25" t="s">
        <v>727</v>
      </c>
      <c r="D300" s="25" t="s">
        <v>968</v>
      </c>
      <c r="E300" s="25" t="s">
        <v>338</v>
      </c>
      <c r="F300" s="25" t="s">
        <v>162</v>
      </c>
      <c r="G300" s="33">
        <v>4000000</v>
      </c>
      <c r="H300" s="25" t="s">
        <v>969</v>
      </c>
      <c r="I300" s="25" t="s">
        <v>156</v>
      </c>
      <c r="J300" s="25"/>
    </row>
    <row r="301" spans="1:10" x14ac:dyDescent="0.25">
      <c r="A301" s="32">
        <v>46286</v>
      </c>
      <c r="B301" s="27" t="s">
        <v>298</v>
      </c>
      <c r="C301" s="25" t="s">
        <v>337</v>
      </c>
      <c r="D301" s="25" t="s">
        <v>970</v>
      </c>
      <c r="E301" s="25" t="s">
        <v>338</v>
      </c>
      <c r="F301" s="25" t="s">
        <v>162</v>
      </c>
      <c r="G301" s="33">
        <v>1300000</v>
      </c>
      <c r="H301" s="25" t="s">
        <v>971</v>
      </c>
      <c r="I301" s="25" t="s">
        <v>156</v>
      </c>
      <c r="J301" s="25"/>
    </row>
    <row r="302" spans="1:10" x14ac:dyDescent="0.25">
      <c r="A302" s="32">
        <v>46286</v>
      </c>
      <c r="B302" s="27" t="s">
        <v>298</v>
      </c>
      <c r="C302" s="25" t="s">
        <v>337</v>
      </c>
      <c r="D302" s="25" t="s">
        <v>972</v>
      </c>
      <c r="E302" s="25" t="s">
        <v>338</v>
      </c>
      <c r="F302" s="25" t="s">
        <v>162</v>
      </c>
      <c r="G302" s="33">
        <v>1200000</v>
      </c>
      <c r="H302" s="25" t="s">
        <v>973</v>
      </c>
      <c r="I302" s="26" t="s">
        <v>225</v>
      </c>
      <c r="J302" s="25">
        <v>2</v>
      </c>
    </row>
    <row r="303" spans="1:10" x14ac:dyDescent="0.25">
      <c r="A303" s="32">
        <v>46286</v>
      </c>
      <c r="B303" s="27" t="s">
        <v>298</v>
      </c>
      <c r="C303" s="25" t="s">
        <v>325</v>
      </c>
      <c r="D303" s="25" t="s">
        <v>974</v>
      </c>
      <c r="E303" s="25" t="s">
        <v>297</v>
      </c>
      <c r="F303" s="25" t="s">
        <v>162</v>
      </c>
      <c r="G303" s="33">
        <v>1275000</v>
      </c>
      <c r="H303" s="25" t="s">
        <v>975</v>
      </c>
      <c r="I303" s="26" t="s">
        <v>229</v>
      </c>
      <c r="J303" s="25">
        <v>2</v>
      </c>
    </row>
    <row r="304" spans="1:10" x14ac:dyDescent="0.25">
      <c r="A304" s="32">
        <v>46286</v>
      </c>
      <c r="B304" s="27" t="s">
        <v>298</v>
      </c>
      <c r="C304" s="25" t="s">
        <v>325</v>
      </c>
      <c r="D304" s="25" t="s">
        <v>976</v>
      </c>
      <c r="E304" s="25" t="s">
        <v>297</v>
      </c>
      <c r="F304" s="25" t="s">
        <v>162</v>
      </c>
      <c r="G304" s="33">
        <v>1700000</v>
      </c>
      <c r="H304" s="25" t="s">
        <v>977</v>
      </c>
      <c r="I304" s="25" t="s">
        <v>156</v>
      </c>
      <c r="J304" s="25"/>
    </row>
    <row r="305" spans="1:10" x14ac:dyDescent="0.25">
      <c r="A305" s="32">
        <v>46286</v>
      </c>
      <c r="B305" s="27" t="s">
        <v>298</v>
      </c>
      <c r="C305" s="25" t="s">
        <v>325</v>
      </c>
      <c r="D305" s="25" t="s">
        <v>978</v>
      </c>
      <c r="E305" s="25" t="s">
        <v>297</v>
      </c>
      <c r="F305" s="25" t="s">
        <v>162</v>
      </c>
      <c r="G305" s="33">
        <v>1700000</v>
      </c>
      <c r="H305" s="25" t="s">
        <v>979</v>
      </c>
      <c r="I305" s="26" t="s">
        <v>216</v>
      </c>
      <c r="J305" s="25">
        <v>2</v>
      </c>
    </row>
    <row r="306" spans="1:10" x14ac:dyDescent="0.25">
      <c r="A306" s="32">
        <v>46286</v>
      </c>
      <c r="B306" s="27" t="s">
        <v>298</v>
      </c>
      <c r="C306" s="25" t="s">
        <v>325</v>
      </c>
      <c r="D306" s="25" t="s">
        <v>980</v>
      </c>
      <c r="E306" s="25" t="s">
        <v>297</v>
      </c>
      <c r="F306" s="25" t="s">
        <v>162</v>
      </c>
      <c r="G306" s="33">
        <v>1700000</v>
      </c>
      <c r="H306" s="25" t="s">
        <v>981</v>
      </c>
      <c r="I306" s="25" t="s">
        <v>156</v>
      </c>
      <c r="J306" s="25"/>
    </row>
    <row r="307" spans="1:10" x14ac:dyDescent="0.25">
      <c r="A307" s="32">
        <v>46286</v>
      </c>
      <c r="B307" s="27" t="s">
        <v>298</v>
      </c>
      <c r="C307" s="25" t="s">
        <v>323</v>
      </c>
      <c r="D307" s="25" t="s">
        <v>982</v>
      </c>
      <c r="E307" s="25" t="s">
        <v>297</v>
      </c>
      <c r="F307" s="25" t="s">
        <v>162</v>
      </c>
      <c r="G307" s="33">
        <v>275000</v>
      </c>
      <c r="H307" s="25" t="s">
        <v>983</v>
      </c>
      <c r="I307" s="25" t="s">
        <v>156</v>
      </c>
      <c r="J307" s="25"/>
    </row>
    <row r="308" spans="1:10" x14ac:dyDescent="0.25">
      <c r="A308" s="32">
        <v>46286</v>
      </c>
      <c r="B308" s="27" t="s">
        <v>298</v>
      </c>
      <c r="C308" s="25" t="s">
        <v>325</v>
      </c>
      <c r="D308" s="25" t="s">
        <v>984</v>
      </c>
      <c r="E308" s="25" t="s">
        <v>297</v>
      </c>
      <c r="F308" s="25" t="s">
        <v>162</v>
      </c>
      <c r="G308" s="33">
        <v>500000</v>
      </c>
      <c r="H308" s="25" t="s">
        <v>985</v>
      </c>
      <c r="I308" s="26" t="s">
        <v>144</v>
      </c>
      <c r="J308" s="25">
        <v>2</v>
      </c>
    </row>
    <row r="309" spans="1:10" x14ac:dyDescent="0.25">
      <c r="A309" s="32">
        <v>46286</v>
      </c>
      <c r="B309" s="27" t="s">
        <v>298</v>
      </c>
      <c r="C309" s="25" t="s">
        <v>325</v>
      </c>
      <c r="D309" s="25" t="s">
        <v>986</v>
      </c>
      <c r="E309" s="25" t="s">
        <v>297</v>
      </c>
      <c r="F309" s="25" t="s">
        <v>162</v>
      </c>
      <c r="G309" s="33">
        <v>1200000</v>
      </c>
      <c r="H309" s="25" t="s">
        <v>987</v>
      </c>
      <c r="I309" s="25" t="s">
        <v>156</v>
      </c>
      <c r="J309" s="25"/>
    </row>
    <row r="310" spans="1:10" x14ac:dyDescent="0.25">
      <c r="A310" s="32">
        <v>46286</v>
      </c>
      <c r="B310" s="27" t="s">
        <v>298</v>
      </c>
      <c r="C310" s="25" t="s">
        <v>325</v>
      </c>
      <c r="D310" s="25" t="s">
        <v>988</v>
      </c>
      <c r="E310" s="25" t="s">
        <v>297</v>
      </c>
      <c r="F310" s="25" t="s">
        <v>162</v>
      </c>
      <c r="G310" s="33">
        <v>1800000</v>
      </c>
      <c r="H310" s="25" t="s">
        <v>989</v>
      </c>
      <c r="I310" s="25" t="s">
        <v>156</v>
      </c>
      <c r="J310" s="25"/>
    </row>
    <row r="311" spans="1:10" x14ac:dyDescent="0.25">
      <c r="A311" s="32">
        <v>46286</v>
      </c>
      <c r="B311" s="27" t="s">
        <v>298</v>
      </c>
      <c r="C311" s="25" t="s">
        <v>325</v>
      </c>
      <c r="D311" s="25" t="s">
        <v>990</v>
      </c>
      <c r="E311" s="25" t="s">
        <v>297</v>
      </c>
      <c r="F311" s="25" t="s">
        <v>162</v>
      </c>
      <c r="G311" s="33">
        <v>1700000</v>
      </c>
      <c r="H311" s="25" t="s">
        <v>991</v>
      </c>
      <c r="I311" s="26" t="s">
        <v>104</v>
      </c>
      <c r="J311" s="25">
        <v>3</v>
      </c>
    </row>
    <row r="312" spans="1:10" x14ac:dyDescent="0.25">
      <c r="A312" s="32">
        <v>46286</v>
      </c>
      <c r="B312" s="27" t="s">
        <v>298</v>
      </c>
      <c r="C312" s="25" t="s">
        <v>634</v>
      </c>
      <c r="D312" s="25" t="s">
        <v>992</v>
      </c>
      <c r="E312" s="25" t="s">
        <v>346</v>
      </c>
      <c r="F312" s="25" t="s">
        <v>164</v>
      </c>
      <c r="G312" s="33">
        <v>3000000</v>
      </c>
      <c r="H312" s="25" t="s">
        <v>993</v>
      </c>
      <c r="I312" s="25" t="s">
        <v>156</v>
      </c>
      <c r="J312" s="25"/>
    </row>
    <row r="313" spans="1:10" x14ac:dyDescent="0.25">
      <c r="A313" s="32">
        <v>46286</v>
      </c>
      <c r="B313" s="27" t="s">
        <v>298</v>
      </c>
      <c r="C313" s="25" t="s">
        <v>760</v>
      </c>
      <c r="D313" s="25" t="s">
        <v>994</v>
      </c>
      <c r="E313" s="25" t="s">
        <v>167</v>
      </c>
      <c r="F313" s="25" t="s">
        <v>163</v>
      </c>
      <c r="G313" s="33">
        <v>700000</v>
      </c>
      <c r="H313" s="25" t="s">
        <v>762</v>
      </c>
      <c r="I313" s="26" t="s">
        <v>316</v>
      </c>
      <c r="J313" s="25">
        <v>2</v>
      </c>
    </row>
    <row r="314" spans="1:10" x14ac:dyDescent="0.25">
      <c r="A314" s="32">
        <v>46286</v>
      </c>
      <c r="B314" s="27" t="s">
        <v>298</v>
      </c>
      <c r="C314" s="25" t="s">
        <v>333</v>
      </c>
      <c r="D314" s="25" t="s">
        <v>995</v>
      </c>
      <c r="E314" s="25" t="s">
        <v>167</v>
      </c>
      <c r="F314" s="25" t="s">
        <v>154</v>
      </c>
      <c r="G314" s="33">
        <v>1700000</v>
      </c>
      <c r="H314" s="25" t="s">
        <v>996</v>
      </c>
      <c r="I314" s="25" t="s">
        <v>156</v>
      </c>
      <c r="J314" s="25"/>
    </row>
    <row r="315" spans="1:10" x14ac:dyDescent="0.25">
      <c r="A315" s="32">
        <v>46286</v>
      </c>
      <c r="B315" s="27" t="s">
        <v>298</v>
      </c>
      <c r="C315" s="25" t="s">
        <v>325</v>
      </c>
      <c r="D315" s="25" t="s">
        <v>997</v>
      </c>
      <c r="E315" s="25" t="s">
        <v>297</v>
      </c>
      <c r="F315" s="25" t="s">
        <v>162</v>
      </c>
      <c r="G315" s="33">
        <v>1700000</v>
      </c>
      <c r="H315" s="25" t="s">
        <v>998</v>
      </c>
      <c r="I315" s="26" t="s">
        <v>131</v>
      </c>
      <c r="J315" s="25">
        <v>2</v>
      </c>
    </row>
    <row r="316" spans="1:10" x14ac:dyDescent="0.25">
      <c r="A316" s="32">
        <v>46286</v>
      </c>
      <c r="B316" s="27" t="s">
        <v>298</v>
      </c>
      <c r="C316" s="25" t="s">
        <v>325</v>
      </c>
      <c r="D316" s="25" t="s">
        <v>999</v>
      </c>
      <c r="E316" s="25" t="s">
        <v>297</v>
      </c>
      <c r="F316" s="25" t="s">
        <v>162</v>
      </c>
      <c r="G316" s="33">
        <v>1700000</v>
      </c>
      <c r="H316" s="25" t="s">
        <v>1000</v>
      </c>
      <c r="I316" s="26" t="s">
        <v>201</v>
      </c>
      <c r="J316" s="25">
        <v>2</v>
      </c>
    </row>
    <row r="317" spans="1:10" x14ac:dyDescent="0.25">
      <c r="A317" s="32">
        <v>46286</v>
      </c>
      <c r="B317" s="27" t="s">
        <v>298</v>
      </c>
      <c r="C317" s="25" t="s">
        <v>325</v>
      </c>
      <c r="D317" s="25" t="s">
        <v>1001</v>
      </c>
      <c r="E317" s="25" t="s">
        <v>297</v>
      </c>
      <c r="F317" s="25" t="s">
        <v>162</v>
      </c>
      <c r="G317" s="33">
        <v>1700000</v>
      </c>
      <c r="H317" s="25" t="s">
        <v>1002</v>
      </c>
      <c r="I317" s="26" t="s">
        <v>110</v>
      </c>
      <c r="J317" s="25">
        <v>3</v>
      </c>
    </row>
    <row r="318" spans="1:10" x14ac:dyDescent="0.25">
      <c r="A318" s="32">
        <v>46286</v>
      </c>
      <c r="B318" s="27" t="s">
        <v>298</v>
      </c>
      <c r="C318" s="25" t="s">
        <v>327</v>
      </c>
      <c r="D318" s="25" t="s">
        <v>1003</v>
      </c>
      <c r="E318" s="25" t="s">
        <v>297</v>
      </c>
      <c r="F318" s="25" t="s">
        <v>162</v>
      </c>
      <c r="G318" s="33">
        <v>1200000</v>
      </c>
      <c r="H318" s="25" t="s">
        <v>1004</v>
      </c>
      <c r="I318" s="26" t="s">
        <v>144</v>
      </c>
      <c r="J318" s="25">
        <v>2</v>
      </c>
    </row>
    <row r="319" spans="1:10" x14ac:dyDescent="0.25">
      <c r="A319" s="32">
        <v>46286</v>
      </c>
      <c r="B319" s="27" t="s">
        <v>298</v>
      </c>
      <c r="C319" s="25" t="s">
        <v>325</v>
      </c>
      <c r="D319" s="25" t="s">
        <v>1005</v>
      </c>
      <c r="E319" s="25" t="s">
        <v>297</v>
      </c>
      <c r="F319" s="25" t="s">
        <v>162</v>
      </c>
      <c r="G319" s="33">
        <v>1300000</v>
      </c>
      <c r="H319" s="25" t="s">
        <v>1006</v>
      </c>
      <c r="I319" s="25" t="s">
        <v>156</v>
      </c>
      <c r="J319" s="25"/>
    </row>
    <row r="320" spans="1:10" x14ac:dyDescent="0.25">
      <c r="A320" s="32">
        <v>46286</v>
      </c>
      <c r="B320" s="27" t="s">
        <v>298</v>
      </c>
      <c r="C320" s="25" t="s">
        <v>325</v>
      </c>
      <c r="D320" s="25" t="s">
        <v>1007</v>
      </c>
      <c r="E320" s="25" t="s">
        <v>297</v>
      </c>
      <c r="F320" s="25" t="s">
        <v>162</v>
      </c>
      <c r="G320" s="33">
        <v>1700000</v>
      </c>
      <c r="H320" s="25" t="s">
        <v>1008</v>
      </c>
      <c r="I320" s="26" t="s">
        <v>132</v>
      </c>
      <c r="J320" s="25">
        <v>3</v>
      </c>
    </row>
    <row r="321" spans="1:10" x14ac:dyDescent="0.25">
      <c r="A321" s="32">
        <v>46286</v>
      </c>
      <c r="B321" s="27" t="s">
        <v>298</v>
      </c>
      <c r="C321" s="25" t="s">
        <v>331</v>
      </c>
      <c r="D321" s="25" t="s">
        <v>1009</v>
      </c>
      <c r="E321" s="25" t="s">
        <v>297</v>
      </c>
      <c r="F321" s="25" t="s">
        <v>162</v>
      </c>
      <c r="G321" s="33">
        <v>1275000</v>
      </c>
      <c r="H321" s="25" t="s">
        <v>1010</v>
      </c>
      <c r="I321" s="26" t="s">
        <v>224</v>
      </c>
      <c r="J321" s="25">
        <v>2</v>
      </c>
    </row>
    <row r="322" spans="1:10" x14ac:dyDescent="0.25">
      <c r="A322" s="32">
        <v>46287</v>
      </c>
      <c r="B322" s="27" t="s">
        <v>298</v>
      </c>
      <c r="C322" s="25" t="s">
        <v>727</v>
      </c>
      <c r="D322" s="25" t="s">
        <v>1011</v>
      </c>
      <c r="E322" s="25" t="s">
        <v>338</v>
      </c>
      <c r="F322" s="25" t="s">
        <v>162</v>
      </c>
      <c r="G322" s="33">
        <v>2000000</v>
      </c>
      <c r="H322" s="25" t="s">
        <v>1012</v>
      </c>
      <c r="I322" s="25" t="s">
        <v>156</v>
      </c>
      <c r="J322" s="25"/>
    </row>
    <row r="323" spans="1:10" x14ac:dyDescent="0.25">
      <c r="A323" s="32">
        <v>46287</v>
      </c>
      <c r="B323" s="27" t="s">
        <v>298</v>
      </c>
      <c r="C323" s="25" t="s">
        <v>337</v>
      </c>
      <c r="D323" s="25" t="s">
        <v>1013</v>
      </c>
      <c r="E323" s="25" t="s">
        <v>338</v>
      </c>
      <c r="F323" s="25" t="s">
        <v>162</v>
      </c>
      <c r="G323" s="33">
        <v>1000000</v>
      </c>
      <c r="H323" s="25" t="s">
        <v>1014</v>
      </c>
      <c r="I323" s="25" t="s">
        <v>156</v>
      </c>
      <c r="J323" s="25"/>
    </row>
    <row r="324" spans="1:10" x14ac:dyDescent="0.25">
      <c r="A324" s="32">
        <v>46287</v>
      </c>
      <c r="B324" s="27" t="s">
        <v>298</v>
      </c>
      <c r="C324" s="25" t="s">
        <v>325</v>
      </c>
      <c r="D324" s="25" t="s">
        <v>1015</v>
      </c>
      <c r="E324" s="25" t="s">
        <v>297</v>
      </c>
      <c r="F324" s="25" t="s">
        <v>162</v>
      </c>
      <c r="G324" s="33">
        <v>500000</v>
      </c>
      <c r="H324" s="25" t="s">
        <v>1016</v>
      </c>
      <c r="I324" s="25" t="s">
        <v>156</v>
      </c>
      <c r="J324" s="25"/>
    </row>
    <row r="325" spans="1:10" x14ac:dyDescent="0.25">
      <c r="A325" s="32">
        <v>46287</v>
      </c>
      <c r="B325" s="27" t="s">
        <v>298</v>
      </c>
      <c r="C325" s="25" t="s">
        <v>325</v>
      </c>
      <c r="D325" s="25" t="s">
        <v>1017</v>
      </c>
      <c r="E325" s="25" t="s">
        <v>297</v>
      </c>
      <c r="F325" s="25" t="s">
        <v>162</v>
      </c>
      <c r="G325" s="33">
        <v>8500000</v>
      </c>
      <c r="H325" s="25" t="s">
        <v>1018</v>
      </c>
      <c r="I325" s="26" t="s">
        <v>103</v>
      </c>
      <c r="J325" s="25">
        <v>3</v>
      </c>
    </row>
    <row r="326" spans="1:10" x14ac:dyDescent="0.25">
      <c r="A326" s="32">
        <v>46287</v>
      </c>
      <c r="B326" s="27" t="s">
        <v>298</v>
      </c>
      <c r="C326" s="25" t="s">
        <v>325</v>
      </c>
      <c r="D326" s="25" t="s">
        <v>1019</v>
      </c>
      <c r="E326" s="25" t="s">
        <v>297</v>
      </c>
      <c r="F326" s="25" t="s">
        <v>162</v>
      </c>
      <c r="G326" s="33">
        <v>1700000</v>
      </c>
      <c r="H326" s="25" t="s">
        <v>1020</v>
      </c>
      <c r="I326" s="25" t="s">
        <v>156</v>
      </c>
      <c r="J326" s="25"/>
    </row>
    <row r="327" spans="1:10" x14ac:dyDescent="0.25">
      <c r="A327" s="32">
        <v>46287</v>
      </c>
      <c r="B327" s="27" t="s">
        <v>298</v>
      </c>
      <c r="C327" s="25" t="s">
        <v>325</v>
      </c>
      <c r="D327" s="25" t="s">
        <v>1021</v>
      </c>
      <c r="E327" s="25" t="s">
        <v>297</v>
      </c>
      <c r="F327" s="25" t="s">
        <v>162</v>
      </c>
      <c r="G327" s="33">
        <v>4708000</v>
      </c>
      <c r="H327" s="25" t="s">
        <v>1022</v>
      </c>
      <c r="I327" s="25" t="s">
        <v>156</v>
      </c>
      <c r="J327" s="25"/>
    </row>
    <row r="328" spans="1:10" x14ac:dyDescent="0.25">
      <c r="A328" s="32">
        <v>46287</v>
      </c>
      <c r="B328" s="27" t="s">
        <v>298</v>
      </c>
      <c r="C328" s="25" t="s">
        <v>326</v>
      </c>
      <c r="D328" s="25" t="s">
        <v>1023</v>
      </c>
      <c r="E328" s="25" t="s">
        <v>297</v>
      </c>
      <c r="F328" s="25" t="s">
        <v>161</v>
      </c>
      <c r="G328" s="33">
        <v>1000000</v>
      </c>
      <c r="H328" s="25" t="s">
        <v>1024</v>
      </c>
      <c r="I328" s="25" t="s">
        <v>156</v>
      </c>
      <c r="J328" s="25"/>
    </row>
    <row r="329" spans="1:10" x14ac:dyDescent="0.25">
      <c r="A329" s="32">
        <v>46287</v>
      </c>
      <c r="B329" s="27" t="s">
        <v>298</v>
      </c>
      <c r="C329" s="25" t="s">
        <v>325</v>
      </c>
      <c r="D329" s="25" t="s">
        <v>1025</v>
      </c>
      <c r="E329" s="25" t="s">
        <v>297</v>
      </c>
      <c r="F329" s="25" t="s">
        <v>162</v>
      </c>
      <c r="G329" s="33">
        <v>1700000</v>
      </c>
      <c r="H329" s="25" t="s">
        <v>1026</v>
      </c>
      <c r="I329" s="26" t="s">
        <v>235</v>
      </c>
      <c r="J329" s="25">
        <v>2</v>
      </c>
    </row>
    <row r="330" spans="1:10" x14ac:dyDescent="0.25">
      <c r="A330" s="32">
        <v>46287</v>
      </c>
      <c r="B330" s="27" t="s">
        <v>298</v>
      </c>
      <c r="C330" s="25" t="s">
        <v>325</v>
      </c>
      <c r="D330" s="25" t="s">
        <v>1027</v>
      </c>
      <c r="E330" s="25" t="s">
        <v>297</v>
      </c>
      <c r="F330" s="25" t="s">
        <v>162</v>
      </c>
      <c r="G330" s="33">
        <v>3000000</v>
      </c>
      <c r="H330" s="25" t="s">
        <v>1028</v>
      </c>
      <c r="I330" s="26" t="s">
        <v>92</v>
      </c>
      <c r="J330" s="25">
        <v>3</v>
      </c>
    </row>
    <row r="331" spans="1:10" x14ac:dyDescent="0.25">
      <c r="A331" s="32">
        <v>46287</v>
      </c>
      <c r="B331" s="27" t="s">
        <v>298</v>
      </c>
      <c r="C331" s="25" t="s">
        <v>325</v>
      </c>
      <c r="D331" s="25" t="s">
        <v>1029</v>
      </c>
      <c r="E331" s="25" t="s">
        <v>297</v>
      </c>
      <c r="F331" s="25" t="s">
        <v>162</v>
      </c>
      <c r="G331" s="33">
        <v>2000000</v>
      </c>
      <c r="H331" s="25" t="s">
        <v>1030</v>
      </c>
      <c r="I331" s="26" t="s">
        <v>134</v>
      </c>
      <c r="J331" s="25">
        <v>3</v>
      </c>
    </row>
    <row r="332" spans="1:10" x14ac:dyDescent="0.25">
      <c r="A332" s="32">
        <v>46287</v>
      </c>
      <c r="B332" s="27" t="s">
        <v>298</v>
      </c>
      <c r="C332" s="25" t="s">
        <v>325</v>
      </c>
      <c r="D332" s="25" t="s">
        <v>1031</v>
      </c>
      <c r="E332" s="25" t="s">
        <v>297</v>
      </c>
      <c r="F332" s="25" t="s">
        <v>162</v>
      </c>
      <c r="G332" s="33">
        <v>1000000</v>
      </c>
      <c r="H332" s="25" t="s">
        <v>1032</v>
      </c>
      <c r="I332" s="26" t="s">
        <v>101</v>
      </c>
      <c r="J332" s="25">
        <v>3</v>
      </c>
    </row>
    <row r="333" spans="1:10" x14ac:dyDescent="0.25">
      <c r="A333" s="32">
        <v>46287</v>
      </c>
      <c r="B333" s="27" t="s">
        <v>298</v>
      </c>
      <c r="C333" s="25" t="s">
        <v>325</v>
      </c>
      <c r="D333" s="25" t="s">
        <v>1033</v>
      </c>
      <c r="E333" s="25" t="s">
        <v>297</v>
      </c>
      <c r="F333" s="25" t="s">
        <v>162</v>
      </c>
      <c r="G333" s="33">
        <v>1700000</v>
      </c>
      <c r="H333" s="25" t="s">
        <v>1034</v>
      </c>
      <c r="I333" s="26" t="s">
        <v>133</v>
      </c>
      <c r="J333" s="25">
        <v>3</v>
      </c>
    </row>
    <row r="334" spans="1:10" x14ac:dyDescent="0.25">
      <c r="A334" s="32">
        <v>46287</v>
      </c>
      <c r="B334" s="27" t="s">
        <v>298</v>
      </c>
      <c r="C334" s="25" t="s">
        <v>325</v>
      </c>
      <c r="D334" s="25" t="s">
        <v>1035</v>
      </c>
      <c r="E334" s="25" t="s">
        <v>297</v>
      </c>
      <c r="F334" s="25" t="s">
        <v>162</v>
      </c>
      <c r="G334" s="33">
        <v>8500000</v>
      </c>
      <c r="H334" s="25" t="s">
        <v>1036</v>
      </c>
      <c r="I334" s="25" t="s">
        <v>156</v>
      </c>
      <c r="J334" s="25"/>
    </row>
    <row r="335" spans="1:10" x14ac:dyDescent="0.25">
      <c r="A335" s="32">
        <v>46287</v>
      </c>
      <c r="B335" s="27" t="s">
        <v>298</v>
      </c>
      <c r="C335" s="25" t="s">
        <v>327</v>
      </c>
      <c r="D335" s="25" t="s">
        <v>1037</v>
      </c>
      <c r="E335" s="25" t="s">
        <v>297</v>
      </c>
      <c r="F335" s="25" t="s">
        <v>162</v>
      </c>
      <c r="G335" s="33">
        <v>1700000</v>
      </c>
      <c r="H335" s="25" t="s">
        <v>1038</v>
      </c>
      <c r="I335" s="25" t="s">
        <v>156</v>
      </c>
      <c r="J335" s="25"/>
    </row>
    <row r="336" spans="1:10" x14ac:dyDescent="0.25">
      <c r="A336" s="32">
        <v>46288</v>
      </c>
      <c r="B336" s="27" t="s">
        <v>298</v>
      </c>
      <c r="C336" s="25" t="s">
        <v>727</v>
      </c>
      <c r="D336" s="25" t="s">
        <v>1039</v>
      </c>
      <c r="E336" s="25" t="s">
        <v>338</v>
      </c>
      <c r="F336" s="25" t="s">
        <v>162</v>
      </c>
      <c r="G336" s="33">
        <v>2000000</v>
      </c>
      <c r="H336" s="25" t="s">
        <v>1040</v>
      </c>
      <c r="I336" s="25" t="s">
        <v>339</v>
      </c>
      <c r="J336" s="25">
        <v>2</v>
      </c>
    </row>
    <row r="337" spans="1:10" x14ac:dyDescent="0.25">
      <c r="A337" s="32">
        <v>46288</v>
      </c>
      <c r="B337" s="27" t="s">
        <v>298</v>
      </c>
      <c r="C337" s="25" t="s">
        <v>337</v>
      </c>
      <c r="D337" s="25" t="s">
        <v>1041</v>
      </c>
      <c r="E337" s="25" t="s">
        <v>338</v>
      </c>
      <c r="F337" s="25" t="s">
        <v>162</v>
      </c>
      <c r="G337" s="33">
        <v>1100000</v>
      </c>
      <c r="H337" s="25" t="s">
        <v>1042</v>
      </c>
      <c r="I337" s="26" t="s">
        <v>294</v>
      </c>
      <c r="J337" s="25">
        <v>2</v>
      </c>
    </row>
    <row r="338" spans="1:10" x14ac:dyDescent="0.25">
      <c r="A338" s="32">
        <v>46288</v>
      </c>
      <c r="B338" s="27" t="s">
        <v>298</v>
      </c>
      <c r="C338" s="25" t="s">
        <v>325</v>
      </c>
      <c r="D338" s="25" t="s">
        <v>1043</v>
      </c>
      <c r="E338" s="25" t="s">
        <v>297</v>
      </c>
      <c r="F338" s="25" t="s">
        <v>162</v>
      </c>
      <c r="G338" s="33">
        <v>1700000</v>
      </c>
      <c r="H338" s="25" t="s">
        <v>1044</v>
      </c>
      <c r="I338" s="26" t="s">
        <v>245</v>
      </c>
      <c r="J338" s="25">
        <v>2</v>
      </c>
    </row>
    <row r="339" spans="1:10" x14ac:dyDescent="0.25">
      <c r="A339" s="32">
        <v>46288</v>
      </c>
      <c r="B339" s="27" t="s">
        <v>298</v>
      </c>
      <c r="C339" s="25" t="s">
        <v>325</v>
      </c>
      <c r="D339" s="25" t="s">
        <v>1045</v>
      </c>
      <c r="E339" s="25" t="s">
        <v>297</v>
      </c>
      <c r="F339" s="25" t="s">
        <v>162</v>
      </c>
      <c r="G339" s="33">
        <v>3000000</v>
      </c>
      <c r="H339" s="25" t="s">
        <v>1046</v>
      </c>
      <c r="I339" s="26" t="s">
        <v>288</v>
      </c>
      <c r="J339" s="25">
        <v>2</v>
      </c>
    </row>
    <row r="340" spans="1:10" x14ac:dyDescent="0.25">
      <c r="A340" s="32">
        <v>46288</v>
      </c>
      <c r="B340" s="27" t="s">
        <v>298</v>
      </c>
      <c r="C340" s="25" t="s">
        <v>325</v>
      </c>
      <c r="D340" s="25" t="s">
        <v>1047</v>
      </c>
      <c r="E340" s="25" t="s">
        <v>297</v>
      </c>
      <c r="F340" s="25" t="s">
        <v>162</v>
      </c>
      <c r="G340" s="33">
        <v>1750000</v>
      </c>
      <c r="H340" s="25" t="s">
        <v>1048</v>
      </c>
      <c r="I340" s="26" t="s">
        <v>280</v>
      </c>
      <c r="J340" s="25">
        <v>2</v>
      </c>
    </row>
    <row r="341" spans="1:10" x14ac:dyDescent="0.25">
      <c r="A341" s="32">
        <v>46288</v>
      </c>
      <c r="B341" s="27" t="s">
        <v>298</v>
      </c>
      <c r="C341" s="25" t="s">
        <v>325</v>
      </c>
      <c r="D341" s="25" t="s">
        <v>1049</v>
      </c>
      <c r="E341" s="25" t="s">
        <v>297</v>
      </c>
      <c r="F341" s="25" t="s">
        <v>162</v>
      </c>
      <c r="G341" s="33">
        <v>1700000</v>
      </c>
      <c r="H341" s="25" t="s">
        <v>1050</v>
      </c>
      <c r="I341" s="26" t="s">
        <v>284</v>
      </c>
      <c r="J341" s="25">
        <v>2</v>
      </c>
    </row>
    <row r="342" spans="1:10" x14ac:dyDescent="0.25">
      <c r="A342" s="32">
        <v>46288</v>
      </c>
      <c r="B342" s="27" t="s">
        <v>298</v>
      </c>
      <c r="C342" s="25" t="s">
        <v>325</v>
      </c>
      <c r="D342" s="25" t="s">
        <v>1051</v>
      </c>
      <c r="E342" s="25" t="s">
        <v>297</v>
      </c>
      <c r="F342" s="25" t="s">
        <v>162</v>
      </c>
      <c r="G342" s="33">
        <v>1700000</v>
      </c>
      <c r="H342" s="25" t="s">
        <v>1052</v>
      </c>
      <c r="I342" s="26" t="s">
        <v>125</v>
      </c>
      <c r="J342" s="25">
        <v>3</v>
      </c>
    </row>
    <row r="343" spans="1:10" x14ac:dyDescent="0.25">
      <c r="A343" s="32">
        <v>46288</v>
      </c>
      <c r="B343" s="27" t="s">
        <v>298</v>
      </c>
      <c r="C343" s="25" t="s">
        <v>325</v>
      </c>
      <c r="D343" s="25" t="s">
        <v>1053</v>
      </c>
      <c r="E343" s="25" t="s">
        <v>297</v>
      </c>
      <c r="F343" s="25" t="s">
        <v>162</v>
      </c>
      <c r="G343" s="33">
        <v>1700000</v>
      </c>
      <c r="H343" s="25" t="s">
        <v>1054</v>
      </c>
      <c r="I343" s="26" t="s">
        <v>205</v>
      </c>
      <c r="J343" s="25">
        <v>2</v>
      </c>
    </row>
    <row r="344" spans="1:10" x14ac:dyDescent="0.25">
      <c r="A344" s="32">
        <v>46288</v>
      </c>
      <c r="B344" s="27" t="s">
        <v>298</v>
      </c>
      <c r="C344" s="25" t="s">
        <v>325</v>
      </c>
      <c r="D344" s="25" t="s">
        <v>1055</v>
      </c>
      <c r="E344" s="25" t="s">
        <v>297</v>
      </c>
      <c r="F344" s="25" t="s">
        <v>162</v>
      </c>
      <c r="G344" s="33">
        <v>1700000</v>
      </c>
      <c r="H344" s="25" t="s">
        <v>1056</v>
      </c>
      <c r="I344" s="26" t="s">
        <v>206</v>
      </c>
      <c r="J344" s="25">
        <v>2</v>
      </c>
    </row>
    <row r="345" spans="1:10" x14ac:dyDescent="0.25">
      <c r="A345" s="32">
        <v>46288</v>
      </c>
      <c r="B345" s="27" t="s">
        <v>298</v>
      </c>
      <c r="C345" s="25" t="s">
        <v>324</v>
      </c>
      <c r="D345" s="25" t="s">
        <v>1057</v>
      </c>
      <c r="E345" s="25" t="s">
        <v>297</v>
      </c>
      <c r="F345" s="25" t="s">
        <v>162</v>
      </c>
      <c r="G345" s="33">
        <v>3400000</v>
      </c>
      <c r="H345" s="25" t="s">
        <v>1058</v>
      </c>
      <c r="I345" s="26" t="s">
        <v>219</v>
      </c>
      <c r="J345" s="25">
        <v>2</v>
      </c>
    </row>
    <row r="346" spans="1:10" x14ac:dyDescent="0.25">
      <c r="A346" s="32">
        <v>46288</v>
      </c>
      <c r="B346" s="27" t="s">
        <v>298</v>
      </c>
      <c r="C346" s="25" t="s">
        <v>331</v>
      </c>
      <c r="D346" s="25" t="s">
        <v>1059</v>
      </c>
      <c r="E346" s="25" t="s">
        <v>297</v>
      </c>
      <c r="F346" s="25" t="s">
        <v>162</v>
      </c>
      <c r="G346" s="33">
        <v>600000</v>
      </c>
      <c r="H346" s="25" t="s">
        <v>1060</v>
      </c>
      <c r="I346" s="26" t="s">
        <v>294</v>
      </c>
      <c r="J346" s="25">
        <v>2</v>
      </c>
    </row>
    <row r="347" spans="1:10" x14ac:dyDescent="0.25">
      <c r="A347" s="32">
        <v>46288</v>
      </c>
      <c r="B347" s="27" t="s">
        <v>298</v>
      </c>
      <c r="C347" s="25" t="s">
        <v>325</v>
      </c>
      <c r="D347" s="25" t="s">
        <v>1061</v>
      </c>
      <c r="E347" s="25" t="s">
        <v>297</v>
      </c>
      <c r="F347" s="25" t="s">
        <v>162</v>
      </c>
      <c r="G347" s="33">
        <v>1700000</v>
      </c>
      <c r="H347" s="25" t="s">
        <v>1062</v>
      </c>
      <c r="I347" s="25" t="s">
        <v>156</v>
      </c>
      <c r="J347" s="25"/>
    </row>
    <row r="348" spans="1:10" x14ac:dyDescent="0.25">
      <c r="A348" s="32">
        <v>46288</v>
      </c>
      <c r="B348" s="27" t="s">
        <v>298</v>
      </c>
      <c r="C348" s="25" t="s">
        <v>325</v>
      </c>
      <c r="D348" s="25" t="s">
        <v>1063</v>
      </c>
      <c r="E348" s="25" t="s">
        <v>297</v>
      </c>
      <c r="F348" s="25" t="s">
        <v>162</v>
      </c>
      <c r="G348" s="33">
        <v>1700000</v>
      </c>
      <c r="H348" s="25" t="s">
        <v>1064</v>
      </c>
      <c r="I348" s="26" t="s">
        <v>232</v>
      </c>
      <c r="J348" s="25">
        <v>2</v>
      </c>
    </row>
    <row r="349" spans="1:10" x14ac:dyDescent="0.25">
      <c r="A349" s="32">
        <v>46288</v>
      </c>
      <c r="B349" s="27" t="s">
        <v>298</v>
      </c>
      <c r="C349" s="25" t="s">
        <v>325</v>
      </c>
      <c r="D349" s="25" t="s">
        <v>1065</v>
      </c>
      <c r="E349" s="25" t="s">
        <v>297</v>
      </c>
      <c r="F349" s="25" t="s">
        <v>162</v>
      </c>
      <c r="G349" s="33">
        <v>1700000</v>
      </c>
      <c r="H349" s="25" t="s">
        <v>1066</v>
      </c>
      <c r="I349" s="25" t="s">
        <v>156</v>
      </c>
      <c r="J349" s="25"/>
    </row>
    <row r="350" spans="1:10" x14ac:dyDescent="0.25">
      <c r="A350" s="32">
        <v>46288</v>
      </c>
      <c r="B350" s="27" t="s">
        <v>298</v>
      </c>
      <c r="C350" s="25" t="s">
        <v>323</v>
      </c>
      <c r="D350" s="25" t="s">
        <v>1067</v>
      </c>
      <c r="E350" s="25" t="s">
        <v>297</v>
      </c>
      <c r="F350" s="25" t="s">
        <v>162</v>
      </c>
      <c r="G350" s="33">
        <v>2500000</v>
      </c>
      <c r="H350" s="25" t="s">
        <v>1068</v>
      </c>
      <c r="I350" s="25" t="s">
        <v>352</v>
      </c>
      <c r="J350" s="25">
        <v>1</v>
      </c>
    </row>
    <row r="351" spans="1:10" x14ac:dyDescent="0.25">
      <c r="A351" s="32">
        <v>46288</v>
      </c>
      <c r="B351" s="27" t="s">
        <v>298</v>
      </c>
      <c r="C351" s="25" t="s">
        <v>325</v>
      </c>
      <c r="D351" s="25" t="s">
        <v>1069</v>
      </c>
      <c r="E351" s="25" t="s">
        <v>297</v>
      </c>
      <c r="F351" s="25" t="s">
        <v>162</v>
      </c>
      <c r="G351" s="33">
        <v>2000000</v>
      </c>
      <c r="H351" s="25" t="s">
        <v>1070</v>
      </c>
      <c r="I351" s="26" t="s">
        <v>198</v>
      </c>
      <c r="J351" s="25">
        <v>2</v>
      </c>
    </row>
    <row r="352" spans="1:10" x14ac:dyDescent="0.25">
      <c r="A352" s="32">
        <v>46288</v>
      </c>
      <c r="B352" s="27" t="s">
        <v>298</v>
      </c>
      <c r="C352" s="25" t="s">
        <v>325</v>
      </c>
      <c r="D352" s="25" t="s">
        <v>1071</v>
      </c>
      <c r="E352" s="25" t="s">
        <v>297</v>
      </c>
      <c r="F352" s="25" t="s">
        <v>162</v>
      </c>
      <c r="G352" s="33">
        <v>1000000</v>
      </c>
      <c r="H352" s="25" t="s">
        <v>1072</v>
      </c>
      <c r="I352" s="26" t="s">
        <v>261</v>
      </c>
      <c r="J352" s="25">
        <v>2</v>
      </c>
    </row>
    <row r="353" spans="1:10" x14ac:dyDescent="0.25">
      <c r="A353" s="32">
        <v>46290</v>
      </c>
      <c r="B353" s="27" t="s">
        <v>298</v>
      </c>
      <c r="C353" s="25" t="s">
        <v>325</v>
      </c>
      <c r="D353" s="25" t="s">
        <v>1073</v>
      </c>
      <c r="E353" s="25" t="s">
        <v>297</v>
      </c>
      <c r="F353" s="25" t="s">
        <v>162</v>
      </c>
      <c r="G353" s="33">
        <v>1700000</v>
      </c>
      <c r="H353" s="25" t="s">
        <v>1074</v>
      </c>
      <c r="I353" s="26" t="s">
        <v>123</v>
      </c>
      <c r="J353" s="25">
        <v>3</v>
      </c>
    </row>
    <row r="354" spans="1:10" x14ac:dyDescent="0.25">
      <c r="A354" s="32">
        <v>46290</v>
      </c>
      <c r="B354" s="27" t="s">
        <v>298</v>
      </c>
      <c r="C354" s="25" t="s">
        <v>325</v>
      </c>
      <c r="D354" s="25" t="s">
        <v>1075</v>
      </c>
      <c r="E354" s="25" t="s">
        <v>297</v>
      </c>
      <c r="F354" s="25" t="s">
        <v>162</v>
      </c>
      <c r="G354" s="33">
        <v>1700000</v>
      </c>
      <c r="H354" s="25" t="s">
        <v>1076</v>
      </c>
      <c r="I354" s="26" t="s">
        <v>102</v>
      </c>
      <c r="J354" s="25">
        <v>3</v>
      </c>
    </row>
    <row r="355" spans="1:10" x14ac:dyDescent="0.25">
      <c r="A355" s="32">
        <v>46290</v>
      </c>
      <c r="B355" s="27" t="s">
        <v>298</v>
      </c>
      <c r="C355" s="25" t="s">
        <v>347</v>
      </c>
      <c r="D355" s="25" t="s">
        <v>1077</v>
      </c>
      <c r="E355" s="25" t="s">
        <v>297</v>
      </c>
      <c r="F355" s="25" t="s">
        <v>162</v>
      </c>
      <c r="G355" s="33">
        <v>1700000</v>
      </c>
      <c r="H355" s="25" t="s">
        <v>1078</v>
      </c>
      <c r="I355" s="26" t="s">
        <v>120</v>
      </c>
      <c r="J355" s="25">
        <v>3</v>
      </c>
    </row>
    <row r="356" spans="1:10" x14ac:dyDescent="0.25">
      <c r="A356" s="32">
        <v>46290</v>
      </c>
      <c r="B356" s="27" t="s">
        <v>298</v>
      </c>
      <c r="C356" s="25" t="s">
        <v>325</v>
      </c>
      <c r="D356" s="25" t="s">
        <v>1079</v>
      </c>
      <c r="E356" s="25" t="s">
        <v>297</v>
      </c>
      <c r="F356" s="25" t="s">
        <v>162</v>
      </c>
      <c r="G356" s="33">
        <v>1150000</v>
      </c>
      <c r="H356" s="25" t="s">
        <v>1080</v>
      </c>
      <c r="I356" s="25" t="s">
        <v>156</v>
      </c>
      <c r="J356" s="25"/>
    </row>
    <row r="357" spans="1:10" x14ac:dyDescent="0.25">
      <c r="A357" s="32">
        <v>46290</v>
      </c>
      <c r="B357" s="27" t="s">
        <v>298</v>
      </c>
      <c r="C357" s="25" t="s">
        <v>325</v>
      </c>
      <c r="D357" s="25" t="s">
        <v>1081</v>
      </c>
      <c r="E357" s="25" t="s">
        <v>297</v>
      </c>
      <c r="F357" s="25" t="s">
        <v>162</v>
      </c>
      <c r="G357" s="33">
        <v>1700000</v>
      </c>
      <c r="H357" s="25" t="s">
        <v>1082</v>
      </c>
      <c r="I357" s="25" t="s">
        <v>156</v>
      </c>
      <c r="J357" s="25"/>
    </row>
    <row r="358" spans="1:10" x14ac:dyDescent="0.25">
      <c r="A358" s="32">
        <v>46290</v>
      </c>
      <c r="B358" s="27" t="s">
        <v>298</v>
      </c>
      <c r="C358" s="25" t="s">
        <v>325</v>
      </c>
      <c r="D358" s="25" t="s">
        <v>1083</v>
      </c>
      <c r="E358" s="25" t="s">
        <v>297</v>
      </c>
      <c r="F358" s="25" t="s">
        <v>162</v>
      </c>
      <c r="G358" s="33">
        <v>1700000</v>
      </c>
      <c r="H358" s="25" t="s">
        <v>1084</v>
      </c>
      <c r="I358" s="26" t="s">
        <v>260</v>
      </c>
      <c r="J358" s="25">
        <v>2</v>
      </c>
    </row>
    <row r="359" spans="1:10" x14ac:dyDescent="0.25">
      <c r="A359" s="32">
        <v>46290</v>
      </c>
      <c r="B359" s="27" t="s">
        <v>298</v>
      </c>
      <c r="C359" s="25" t="s">
        <v>335</v>
      </c>
      <c r="D359" s="25" t="s">
        <v>1085</v>
      </c>
      <c r="E359" s="25" t="s">
        <v>167</v>
      </c>
      <c r="F359" s="25" t="s">
        <v>160</v>
      </c>
      <c r="G359" s="33">
        <v>1800000</v>
      </c>
      <c r="H359" s="25" t="s">
        <v>1086</v>
      </c>
      <c r="I359" s="26" t="s">
        <v>250</v>
      </c>
      <c r="J359" s="25">
        <v>2</v>
      </c>
    </row>
    <row r="360" spans="1:10" x14ac:dyDescent="0.25">
      <c r="A360" s="32">
        <v>46290</v>
      </c>
      <c r="B360" s="27" t="s">
        <v>298</v>
      </c>
      <c r="C360" s="25" t="s">
        <v>325</v>
      </c>
      <c r="D360" s="25" t="s">
        <v>1087</v>
      </c>
      <c r="E360" s="25" t="s">
        <v>297</v>
      </c>
      <c r="F360" s="25" t="s">
        <v>162</v>
      </c>
      <c r="G360" s="33">
        <v>4000000</v>
      </c>
      <c r="H360" s="25" t="s">
        <v>1088</v>
      </c>
      <c r="I360" s="26" t="s">
        <v>96</v>
      </c>
      <c r="J360" s="25">
        <v>3</v>
      </c>
    </row>
    <row r="361" spans="1:10" x14ac:dyDescent="0.25">
      <c r="A361" s="32">
        <v>46293</v>
      </c>
      <c r="B361" s="27" t="s">
        <v>298</v>
      </c>
      <c r="C361" s="25" t="s">
        <v>337</v>
      </c>
      <c r="D361" s="25" t="s">
        <v>1089</v>
      </c>
      <c r="E361" s="25" t="s">
        <v>338</v>
      </c>
      <c r="F361" s="25" t="s">
        <v>162</v>
      </c>
      <c r="G361" s="33">
        <v>2500000</v>
      </c>
      <c r="H361" s="25" t="s">
        <v>1090</v>
      </c>
      <c r="I361" s="26" t="s">
        <v>237</v>
      </c>
      <c r="J361" s="25">
        <v>2</v>
      </c>
    </row>
    <row r="362" spans="1:10" x14ac:dyDescent="0.25">
      <c r="A362" s="32">
        <v>46293</v>
      </c>
      <c r="B362" s="27" t="s">
        <v>298</v>
      </c>
      <c r="C362" s="25" t="s">
        <v>727</v>
      </c>
      <c r="D362" s="25" t="s">
        <v>1091</v>
      </c>
      <c r="E362" s="25" t="s">
        <v>338</v>
      </c>
      <c r="F362" s="25" t="s">
        <v>162</v>
      </c>
      <c r="G362" s="33">
        <v>2356000</v>
      </c>
      <c r="H362" s="25" t="s">
        <v>1092</v>
      </c>
      <c r="I362" s="26" t="s">
        <v>313</v>
      </c>
      <c r="J362" s="25">
        <v>2</v>
      </c>
    </row>
    <row r="363" spans="1:10" x14ac:dyDescent="0.25">
      <c r="A363" s="32">
        <v>46293</v>
      </c>
      <c r="B363" s="27" t="s">
        <v>298</v>
      </c>
      <c r="C363" s="25" t="s">
        <v>337</v>
      </c>
      <c r="D363" s="25" t="s">
        <v>1093</v>
      </c>
      <c r="E363" s="25" t="s">
        <v>338</v>
      </c>
      <c r="F363" s="25" t="s">
        <v>162</v>
      </c>
      <c r="G363" s="33">
        <v>1900000</v>
      </c>
      <c r="H363" s="25" t="s">
        <v>1094</v>
      </c>
      <c r="I363" s="26" t="s">
        <v>243</v>
      </c>
      <c r="J363" s="25">
        <v>2</v>
      </c>
    </row>
    <row r="364" spans="1:10" x14ac:dyDescent="0.25">
      <c r="A364" s="32">
        <v>46293</v>
      </c>
      <c r="B364" s="27" t="s">
        <v>298</v>
      </c>
      <c r="C364" s="25" t="s">
        <v>325</v>
      </c>
      <c r="D364" s="25" t="s">
        <v>1095</v>
      </c>
      <c r="E364" s="25" t="s">
        <v>297</v>
      </c>
      <c r="F364" s="25" t="s">
        <v>162</v>
      </c>
      <c r="G364" s="33">
        <v>1150000</v>
      </c>
      <c r="H364" s="25" t="s">
        <v>1096</v>
      </c>
      <c r="I364" s="26" t="s">
        <v>94</v>
      </c>
      <c r="J364" s="25">
        <v>3</v>
      </c>
    </row>
    <row r="365" spans="1:10" x14ac:dyDescent="0.25">
      <c r="A365" s="32">
        <v>46293</v>
      </c>
      <c r="B365" s="27" t="s">
        <v>298</v>
      </c>
      <c r="C365" s="25" t="s">
        <v>325</v>
      </c>
      <c r="D365" s="25" t="s">
        <v>1097</v>
      </c>
      <c r="E365" s="25" t="s">
        <v>297</v>
      </c>
      <c r="F365" s="25" t="s">
        <v>162</v>
      </c>
      <c r="G365" s="33">
        <v>3000000</v>
      </c>
      <c r="H365" s="25" t="s">
        <v>1098</v>
      </c>
      <c r="I365" s="26" t="s">
        <v>291</v>
      </c>
      <c r="J365" s="25">
        <v>2</v>
      </c>
    </row>
    <row r="366" spans="1:10" x14ac:dyDescent="0.25">
      <c r="A366" s="32">
        <v>46293</v>
      </c>
      <c r="B366" s="27" t="s">
        <v>298</v>
      </c>
      <c r="C366" s="25" t="s">
        <v>325</v>
      </c>
      <c r="D366" s="25" t="s">
        <v>1099</v>
      </c>
      <c r="E366" s="25" t="s">
        <v>297</v>
      </c>
      <c r="F366" s="25" t="s">
        <v>162</v>
      </c>
      <c r="G366" s="33">
        <v>1700000</v>
      </c>
      <c r="H366" s="25" t="s">
        <v>1100</v>
      </c>
      <c r="I366" s="26" t="s">
        <v>312</v>
      </c>
      <c r="J366" s="25">
        <v>2</v>
      </c>
    </row>
    <row r="367" spans="1:10" x14ac:dyDescent="0.25">
      <c r="A367" s="32">
        <v>46293</v>
      </c>
      <c r="B367" s="27" t="s">
        <v>298</v>
      </c>
      <c r="C367" s="25" t="s">
        <v>328</v>
      </c>
      <c r="D367" s="25" t="s">
        <v>1101</v>
      </c>
      <c r="E367" s="25" t="s">
        <v>297</v>
      </c>
      <c r="F367" s="25" t="s">
        <v>329</v>
      </c>
      <c r="G367" s="33">
        <v>1200000</v>
      </c>
      <c r="H367" s="25" t="s">
        <v>1102</v>
      </c>
      <c r="I367" s="25" t="s">
        <v>156</v>
      </c>
      <c r="J367" s="25"/>
    </row>
    <row r="368" spans="1:10" x14ac:dyDescent="0.25">
      <c r="A368" s="32">
        <v>46293</v>
      </c>
      <c r="B368" s="27" t="s">
        <v>298</v>
      </c>
      <c r="C368" s="25" t="s">
        <v>325</v>
      </c>
      <c r="D368" s="25" t="s">
        <v>1103</v>
      </c>
      <c r="E368" s="25" t="s">
        <v>297</v>
      </c>
      <c r="F368" s="25" t="s">
        <v>162</v>
      </c>
      <c r="G368" s="33">
        <v>800000</v>
      </c>
      <c r="H368" s="25" t="s">
        <v>1104</v>
      </c>
      <c r="I368" s="26" t="s">
        <v>180</v>
      </c>
      <c r="J368" s="25">
        <v>2</v>
      </c>
    </row>
    <row r="369" spans="1:10" x14ac:dyDescent="0.25">
      <c r="A369" s="32">
        <v>46293</v>
      </c>
      <c r="B369" s="27" t="s">
        <v>298</v>
      </c>
      <c r="C369" s="25" t="s">
        <v>325</v>
      </c>
      <c r="D369" s="25" t="s">
        <v>1105</v>
      </c>
      <c r="E369" s="25" t="s">
        <v>297</v>
      </c>
      <c r="F369" s="25" t="s">
        <v>162</v>
      </c>
      <c r="G369" s="33">
        <v>1700000</v>
      </c>
      <c r="H369" s="25" t="s">
        <v>1106</v>
      </c>
      <c r="I369" s="26" t="s">
        <v>115</v>
      </c>
      <c r="J369" s="25">
        <v>3</v>
      </c>
    </row>
    <row r="370" spans="1:10" x14ac:dyDescent="0.25">
      <c r="A370" s="32">
        <v>46293</v>
      </c>
      <c r="B370" s="27" t="s">
        <v>298</v>
      </c>
      <c r="C370" s="25" t="s">
        <v>325</v>
      </c>
      <c r="D370" s="25" t="s">
        <v>1107</v>
      </c>
      <c r="E370" s="25" t="s">
        <v>297</v>
      </c>
      <c r="F370" s="25" t="s">
        <v>162</v>
      </c>
      <c r="G370" s="33">
        <v>2400000</v>
      </c>
      <c r="H370" s="25" t="s">
        <v>1108</v>
      </c>
      <c r="I370" s="26" t="s">
        <v>93</v>
      </c>
      <c r="J370" s="26">
        <v>3</v>
      </c>
    </row>
    <row r="371" spans="1:10" x14ac:dyDescent="0.25">
      <c r="A371" s="32">
        <v>46293</v>
      </c>
      <c r="B371" s="27" t="s">
        <v>298</v>
      </c>
      <c r="C371" s="25" t="s">
        <v>325</v>
      </c>
      <c r="D371" s="25" t="s">
        <v>1109</v>
      </c>
      <c r="E371" s="25" t="s">
        <v>297</v>
      </c>
      <c r="F371" s="25" t="s">
        <v>162</v>
      </c>
      <c r="G371" s="33">
        <v>1700000</v>
      </c>
      <c r="H371" s="25" t="s">
        <v>1110</v>
      </c>
      <c r="I371" s="26" t="s">
        <v>124</v>
      </c>
      <c r="J371" s="25">
        <v>3</v>
      </c>
    </row>
    <row r="372" spans="1:10" x14ac:dyDescent="0.25">
      <c r="A372" s="32">
        <v>46293</v>
      </c>
      <c r="B372" s="27" t="s">
        <v>298</v>
      </c>
      <c r="C372" s="25" t="s">
        <v>325</v>
      </c>
      <c r="D372" s="25" t="s">
        <v>1111</v>
      </c>
      <c r="E372" s="25" t="s">
        <v>297</v>
      </c>
      <c r="F372" s="25" t="s">
        <v>162</v>
      </c>
      <c r="G372" s="33">
        <v>5500000</v>
      </c>
      <c r="H372" s="25" t="s">
        <v>1112</v>
      </c>
      <c r="I372" s="34" t="s">
        <v>344</v>
      </c>
      <c r="J372" s="25">
        <v>2</v>
      </c>
    </row>
    <row r="373" spans="1:10" x14ac:dyDescent="0.25">
      <c r="A373" s="32">
        <v>46294</v>
      </c>
      <c r="B373" s="27" t="s">
        <v>298</v>
      </c>
      <c r="C373" s="25" t="s">
        <v>727</v>
      </c>
      <c r="D373" s="25" t="s">
        <v>1113</v>
      </c>
      <c r="E373" s="25" t="s">
        <v>338</v>
      </c>
      <c r="F373" s="25" t="s">
        <v>162</v>
      </c>
      <c r="G373" s="33">
        <v>1000000</v>
      </c>
      <c r="H373" s="25" t="s">
        <v>1114</v>
      </c>
      <c r="I373" s="25" t="s">
        <v>341</v>
      </c>
      <c r="J373" s="25">
        <v>2</v>
      </c>
    </row>
    <row r="374" spans="1:10" x14ac:dyDescent="0.25">
      <c r="A374" s="32">
        <v>46294</v>
      </c>
      <c r="B374" s="27" t="s">
        <v>298</v>
      </c>
      <c r="C374" s="25" t="s">
        <v>325</v>
      </c>
      <c r="D374" s="25" t="s">
        <v>1115</v>
      </c>
      <c r="E374" s="25" t="s">
        <v>297</v>
      </c>
      <c r="F374" s="25" t="s">
        <v>162</v>
      </c>
      <c r="G374" s="33">
        <v>1700000</v>
      </c>
      <c r="H374" s="25" t="s">
        <v>1116</v>
      </c>
      <c r="I374" s="26" t="s">
        <v>259</v>
      </c>
      <c r="J374" s="25">
        <v>2</v>
      </c>
    </row>
    <row r="375" spans="1:10" x14ac:dyDescent="0.25">
      <c r="A375" s="32">
        <v>46294</v>
      </c>
      <c r="B375" s="27" t="s">
        <v>298</v>
      </c>
      <c r="C375" s="25" t="s">
        <v>348</v>
      </c>
      <c r="D375" s="25" t="s">
        <v>1117</v>
      </c>
      <c r="E375" s="25" t="s">
        <v>167</v>
      </c>
      <c r="F375" s="25" t="s">
        <v>160</v>
      </c>
      <c r="G375" s="33">
        <v>1000000</v>
      </c>
      <c r="H375" s="25" t="s">
        <v>1118</v>
      </c>
      <c r="I375" s="25" t="s">
        <v>343</v>
      </c>
      <c r="J375" s="25">
        <v>2</v>
      </c>
    </row>
    <row r="376" spans="1:10" x14ac:dyDescent="0.25">
      <c r="A376" s="32">
        <v>46294</v>
      </c>
      <c r="B376" s="27" t="s">
        <v>298</v>
      </c>
      <c r="C376" s="25" t="s">
        <v>323</v>
      </c>
      <c r="D376" s="25" t="s">
        <v>1119</v>
      </c>
      <c r="E376" s="25" t="s">
        <v>297</v>
      </c>
      <c r="F376" s="25" t="s">
        <v>162</v>
      </c>
      <c r="G376" s="33">
        <v>1275000</v>
      </c>
      <c r="H376" s="25" t="s">
        <v>1120</v>
      </c>
      <c r="I376" s="25" t="s">
        <v>156</v>
      </c>
      <c r="J376" s="25"/>
    </row>
    <row r="377" spans="1:10" x14ac:dyDescent="0.25">
      <c r="A377" s="32">
        <v>46294</v>
      </c>
      <c r="B377" s="27" t="s">
        <v>298</v>
      </c>
      <c r="C377" s="25" t="s">
        <v>331</v>
      </c>
      <c r="D377" s="25" t="s">
        <v>1121</v>
      </c>
      <c r="E377" s="25" t="s">
        <v>297</v>
      </c>
      <c r="F377" s="25" t="s">
        <v>162</v>
      </c>
      <c r="G377" s="33">
        <v>2000000</v>
      </c>
      <c r="H377" s="25" t="s">
        <v>1122</v>
      </c>
      <c r="I377" s="26" t="s">
        <v>301</v>
      </c>
      <c r="J377" s="25">
        <v>2</v>
      </c>
    </row>
    <row r="378" spans="1:10" x14ac:dyDescent="0.25">
      <c r="A378" s="32">
        <v>46294</v>
      </c>
      <c r="B378" s="27" t="s">
        <v>298</v>
      </c>
      <c r="C378" s="25" t="s">
        <v>325</v>
      </c>
      <c r="D378" s="25" t="s">
        <v>1123</v>
      </c>
      <c r="E378" s="25" t="s">
        <v>297</v>
      </c>
      <c r="F378" s="25" t="s">
        <v>162</v>
      </c>
      <c r="G378" s="33">
        <v>4500000</v>
      </c>
      <c r="H378" s="25" t="s">
        <v>1124</v>
      </c>
      <c r="I378" s="26" t="s">
        <v>287</v>
      </c>
      <c r="J378" s="25">
        <v>2</v>
      </c>
    </row>
    <row r="379" spans="1:10" x14ac:dyDescent="0.25">
      <c r="A379" s="32">
        <v>46294</v>
      </c>
      <c r="B379" s="27" t="s">
        <v>298</v>
      </c>
      <c r="C379" s="25" t="s">
        <v>325</v>
      </c>
      <c r="D379" s="25" t="s">
        <v>1125</v>
      </c>
      <c r="E379" s="25" t="s">
        <v>297</v>
      </c>
      <c r="F379" s="25" t="s">
        <v>162</v>
      </c>
      <c r="G379" s="33">
        <v>1275000</v>
      </c>
      <c r="H379" s="25" t="s">
        <v>1126</v>
      </c>
      <c r="I379" s="25" t="s">
        <v>156</v>
      </c>
      <c r="J379" s="25"/>
    </row>
    <row r="380" spans="1:10" x14ac:dyDescent="0.25">
      <c r="A380" s="32">
        <v>46295</v>
      </c>
      <c r="B380" s="27" t="s">
        <v>298</v>
      </c>
      <c r="C380" s="25" t="s">
        <v>1127</v>
      </c>
      <c r="D380" s="25" t="s">
        <v>1128</v>
      </c>
      <c r="E380" s="25" t="s">
        <v>297</v>
      </c>
      <c r="F380" s="25" t="s">
        <v>399</v>
      </c>
      <c r="G380" s="33">
        <v>1800000</v>
      </c>
      <c r="H380" s="25" t="s">
        <v>1129</v>
      </c>
      <c r="I380" s="26" t="s">
        <v>141</v>
      </c>
      <c r="J380" s="25">
        <v>2</v>
      </c>
    </row>
    <row r="381" spans="1:10" x14ac:dyDescent="0.25">
      <c r="A381" s="32">
        <v>46295</v>
      </c>
      <c r="B381" s="27" t="s">
        <v>298</v>
      </c>
      <c r="C381" s="25" t="s">
        <v>325</v>
      </c>
      <c r="D381" s="25" t="s">
        <v>1130</v>
      </c>
      <c r="E381" s="25" t="s">
        <v>297</v>
      </c>
      <c r="F381" s="25" t="s">
        <v>162</v>
      </c>
      <c r="G381" s="33">
        <v>1296000</v>
      </c>
      <c r="H381" s="25" t="s">
        <v>1131</v>
      </c>
      <c r="I381" s="26" t="s">
        <v>98</v>
      </c>
      <c r="J381" s="25">
        <v>3</v>
      </c>
    </row>
    <row r="382" spans="1:10" x14ac:dyDescent="0.25">
      <c r="A382" s="32">
        <v>46295</v>
      </c>
      <c r="B382" s="27" t="s">
        <v>298</v>
      </c>
      <c r="C382" s="25" t="s">
        <v>325</v>
      </c>
      <c r="D382" s="25" t="s">
        <v>1132</v>
      </c>
      <c r="E382" s="25" t="s">
        <v>297</v>
      </c>
      <c r="F382" s="25" t="s">
        <v>162</v>
      </c>
      <c r="G382" s="33">
        <v>3531000</v>
      </c>
      <c r="H382" s="25" t="s">
        <v>1133</v>
      </c>
      <c r="I382" s="26" t="s">
        <v>293</v>
      </c>
      <c r="J382" s="25">
        <v>2</v>
      </c>
    </row>
    <row r="383" spans="1:10" x14ac:dyDescent="0.25">
      <c r="A383" s="32">
        <v>46295</v>
      </c>
      <c r="B383" s="27" t="s">
        <v>298</v>
      </c>
      <c r="C383" s="25" t="s">
        <v>325</v>
      </c>
      <c r="D383" s="25" t="s">
        <v>1134</v>
      </c>
      <c r="E383" s="25" t="s">
        <v>297</v>
      </c>
      <c r="F383" s="25" t="s">
        <v>162</v>
      </c>
      <c r="G383" s="33">
        <v>400000</v>
      </c>
      <c r="H383" s="25" t="s">
        <v>1135</v>
      </c>
      <c r="I383" s="26" t="s">
        <v>231</v>
      </c>
      <c r="J383" s="25">
        <v>2</v>
      </c>
    </row>
    <row r="384" spans="1:10" x14ac:dyDescent="0.25">
      <c r="A384" s="32">
        <v>46295</v>
      </c>
      <c r="B384" s="27" t="s">
        <v>298</v>
      </c>
      <c r="C384" s="25" t="s">
        <v>327</v>
      </c>
      <c r="D384" s="25" t="s">
        <v>1136</v>
      </c>
      <c r="E384" s="25" t="s">
        <v>297</v>
      </c>
      <c r="F384" s="25" t="s">
        <v>162</v>
      </c>
      <c r="G384" s="33">
        <v>2500000</v>
      </c>
      <c r="H384" s="25" t="s">
        <v>1137</v>
      </c>
      <c r="I384" s="26" t="s">
        <v>91</v>
      </c>
      <c r="J384" s="25">
        <v>3</v>
      </c>
    </row>
    <row r="385" spans="1:10" x14ac:dyDescent="0.25">
      <c r="A385" s="32">
        <v>46295</v>
      </c>
      <c r="B385" s="27" t="s">
        <v>298</v>
      </c>
      <c r="C385" s="25" t="s">
        <v>325</v>
      </c>
      <c r="D385" s="25" t="s">
        <v>1138</v>
      </c>
      <c r="E385" s="25" t="s">
        <v>297</v>
      </c>
      <c r="F385" s="25" t="s">
        <v>162</v>
      </c>
      <c r="G385" s="33">
        <v>1700000</v>
      </c>
      <c r="H385" s="25" t="s">
        <v>1139</v>
      </c>
      <c r="I385" s="26" t="s">
        <v>100</v>
      </c>
      <c r="J385" s="25">
        <v>3</v>
      </c>
    </row>
    <row r="386" spans="1:10" x14ac:dyDescent="0.25">
      <c r="A386" s="32">
        <v>46295</v>
      </c>
      <c r="B386" s="27" t="s">
        <v>298</v>
      </c>
      <c r="C386" s="25" t="s">
        <v>325</v>
      </c>
      <c r="D386" s="25" t="s">
        <v>1140</v>
      </c>
      <c r="E386" s="25" t="s">
        <v>297</v>
      </c>
      <c r="F386" s="25" t="s">
        <v>162</v>
      </c>
      <c r="G386" s="33">
        <v>1200000</v>
      </c>
      <c r="H386" s="25" t="s">
        <v>1141</v>
      </c>
      <c r="I386" s="26" t="s">
        <v>97</v>
      </c>
      <c r="J386" s="25">
        <v>3</v>
      </c>
    </row>
    <row r="387" spans="1:10" x14ac:dyDescent="0.25">
      <c r="A387" s="32">
        <v>46295</v>
      </c>
      <c r="B387" s="27" t="s">
        <v>298</v>
      </c>
      <c r="C387" s="25" t="s">
        <v>324</v>
      </c>
      <c r="D387" s="25" t="s">
        <v>1142</v>
      </c>
      <c r="E387" s="25" t="s">
        <v>297</v>
      </c>
      <c r="F387" s="25" t="s">
        <v>162</v>
      </c>
      <c r="G387" s="33">
        <v>1700000</v>
      </c>
      <c r="H387" s="25" t="s">
        <v>1143</v>
      </c>
      <c r="I387" s="26" t="s">
        <v>272</v>
      </c>
      <c r="J387" s="25">
        <v>2</v>
      </c>
    </row>
    <row r="388" spans="1:10" x14ac:dyDescent="0.25">
      <c r="A388" s="32">
        <v>46295</v>
      </c>
      <c r="B388" s="27" t="s">
        <v>298</v>
      </c>
      <c r="C388" s="25" t="s">
        <v>325</v>
      </c>
      <c r="D388" s="25" t="s">
        <v>1144</v>
      </c>
      <c r="E388" s="25" t="s">
        <v>297</v>
      </c>
      <c r="F388" s="25" t="s">
        <v>162</v>
      </c>
      <c r="G388" s="33">
        <v>4000000</v>
      </c>
      <c r="H388" s="25" t="s">
        <v>1145</v>
      </c>
      <c r="I388" s="26" t="s">
        <v>199</v>
      </c>
      <c r="J388" s="25">
        <v>2</v>
      </c>
    </row>
    <row r="389" spans="1:10" x14ac:dyDescent="0.25">
      <c r="A389" s="32">
        <v>46295</v>
      </c>
      <c r="B389" s="27" t="s">
        <v>298</v>
      </c>
      <c r="C389" s="25" t="s">
        <v>323</v>
      </c>
      <c r="D389" s="25" t="s">
        <v>1146</v>
      </c>
      <c r="E389" s="25" t="s">
        <v>297</v>
      </c>
      <c r="F389" s="25" t="s">
        <v>162</v>
      </c>
      <c r="G389" s="33">
        <v>2200000</v>
      </c>
      <c r="H389" s="25" t="s">
        <v>1147</v>
      </c>
      <c r="I389" s="26" t="s">
        <v>299</v>
      </c>
      <c r="J389" s="25">
        <v>2</v>
      </c>
    </row>
    <row r="390" spans="1:10" x14ac:dyDescent="0.25">
      <c r="A390" s="32">
        <v>46297</v>
      </c>
      <c r="B390" s="27" t="s">
        <v>298</v>
      </c>
      <c r="C390" s="25" t="s">
        <v>337</v>
      </c>
      <c r="D390" s="25" t="s">
        <v>1148</v>
      </c>
      <c r="E390" s="25" t="s">
        <v>338</v>
      </c>
      <c r="F390" s="25" t="s">
        <v>162</v>
      </c>
      <c r="G390" s="33">
        <v>1700000</v>
      </c>
      <c r="H390" s="25" t="s">
        <v>1149</v>
      </c>
      <c r="I390" s="26" t="s">
        <v>212</v>
      </c>
      <c r="J390" s="25">
        <v>2</v>
      </c>
    </row>
    <row r="391" spans="1:10" x14ac:dyDescent="0.25">
      <c r="A391" s="32">
        <v>46297</v>
      </c>
      <c r="B391" s="27" t="s">
        <v>298</v>
      </c>
      <c r="C391" s="25" t="s">
        <v>337</v>
      </c>
      <c r="D391" s="25" t="s">
        <v>1150</v>
      </c>
      <c r="E391" s="25" t="s">
        <v>338</v>
      </c>
      <c r="F391" s="25" t="s">
        <v>162</v>
      </c>
      <c r="G391" s="33">
        <v>1700000</v>
      </c>
      <c r="H391" s="25" t="s">
        <v>1151</v>
      </c>
      <c r="I391" s="25" t="s">
        <v>156</v>
      </c>
      <c r="J391" s="25"/>
    </row>
    <row r="392" spans="1:10" x14ac:dyDescent="0.25">
      <c r="A392" s="32">
        <v>46297</v>
      </c>
      <c r="B392" s="27" t="s">
        <v>298</v>
      </c>
      <c r="C392" s="25" t="s">
        <v>727</v>
      </c>
      <c r="D392" s="25" t="s">
        <v>1152</v>
      </c>
      <c r="E392" s="25" t="s">
        <v>338</v>
      </c>
      <c r="F392" s="25" t="s">
        <v>162</v>
      </c>
      <c r="G392" s="33">
        <v>850000</v>
      </c>
      <c r="H392" s="25" t="s">
        <v>1153</v>
      </c>
      <c r="I392" s="26" t="s">
        <v>283</v>
      </c>
      <c r="J392" s="25">
        <v>1</v>
      </c>
    </row>
    <row r="393" spans="1:10" x14ac:dyDescent="0.25">
      <c r="A393" s="32">
        <v>46297</v>
      </c>
      <c r="B393" s="27" t="s">
        <v>298</v>
      </c>
      <c r="C393" s="25" t="s">
        <v>337</v>
      </c>
      <c r="D393" s="25" t="s">
        <v>1154</v>
      </c>
      <c r="E393" s="25" t="s">
        <v>338</v>
      </c>
      <c r="F393" s="25" t="s">
        <v>162</v>
      </c>
      <c r="G393" s="33">
        <v>860000</v>
      </c>
      <c r="H393" s="25" t="s">
        <v>1155</v>
      </c>
      <c r="I393" s="26" t="s">
        <v>266</v>
      </c>
      <c r="J393" s="25">
        <v>2</v>
      </c>
    </row>
    <row r="394" spans="1:10" x14ac:dyDescent="0.25">
      <c r="A394" s="32">
        <v>46297</v>
      </c>
      <c r="B394" s="27" t="s">
        <v>298</v>
      </c>
      <c r="C394" s="25" t="s">
        <v>337</v>
      </c>
      <c r="D394" s="25" t="s">
        <v>1156</v>
      </c>
      <c r="E394" s="25" t="s">
        <v>338</v>
      </c>
      <c r="F394" s="25" t="s">
        <v>162</v>
      </c>
      <c r="G394" s="33">
        <v>1100000</v>
      </c>
      <c r="H394" s="25" t="s">
        <v>1157</v>
      </c>
      <c r="I394" s="26" t="s">
        <v>274</v>
      </c>
      <c r="J394" s="25">
        <v>2</v>
      </c>
    </row>
    <row r="395" spans="1:10" x14ac:dyDescent="0.25">
      <c r="A395" s="32">
        <v>46297</v>
      </c>
      <c r="B395" s="27" t="s">
        <v>298</v>
      </c>
      <c r="C395" s="25" t="s">
        <v>323</v>
      </c>
      <c r="D395" s="25" t="s">
        <v>1158</v>
      </c>
      <c r="E395" s="25" t="s">
        <v>297</v>
      </c>
      <c r="F395" s="25" t="s">
        <v>162</v>
      </c>
      <c r="G395" s="33">
        <v>2500000</v>
      </c>
      <c r="H395" s="25" t="s">
        <v>1159</v>
      </c>
      <c r="I395" s="26" t="s">
        <v>191</v>
      </c>
      <c r="J395" s="25">
        <v>2</v>
      </c>
    </row>
    <row r="396" spans="1:10" x14ac:dyDescent="0.25">
      <c r="A396" s="32">
        <v>46297</v>
      </c>
      <c r="B396" s="27" t="s">
        <v>298</v>
      </c>
      <c r="C396" s="25" t="s">
        <v>323</v>
      </c>
      <c r="D396" s="25" t="s">
        <v>1160</v>
      </c>
      <c r="E396" s="25" t="s">
        <v>297</v>
      </c>
      <c r="F396" s="25" t="s">
        <v>162</v>
      </c>
      <c r="G396" s="33">
        <v>2000000</v>
      </c>
      <c r="H396" s="25" t="s">
        <v>1161</v>
      </c>
      <c r="I396" s="26" t="s">
        <v>292</v>
      </c>
      <c r="J396" s="25">
        <v>2</v>
      </c>
    </row>
    <row r="397" spans="1:10" x14ac:dyDescent="0.25">
      <c r="A397" s="32">
        <v>46297</v>
      </c>
      <c r="B397" s="27" t="s">
        <v>298</v>
      </c>
      <c r="C397" s="25" t="s">
        <v>325</v>
      </c>
      <c r="D397" s="25" t="s">
        <v>1162</v>
      </c>
      <c r="E397" s="25" t="s">
        <v>297</v>
      </c>
      <c r="F397" s="25" t="s">
        <v>162</v>
      </c>
      <c r="G397" s="33">
        <v>1700000</v>
      </c>
      <c r="H397" s="25" t="s">
        <v>1163</v>
      </c>
      <c r="I397" s="26" t="s">
        <v>264</v>
      </c>
      <c r="J397" s="25">
        <v>2</v>
      </c>
    </row>
    <row r="398" spans="1:10" x14ac:dyDescent="0.25">
      <c r="A398" s="32">
        <v>46297</v>
      </c>
      <c r="B398" s="27" t="s">
        <v>298</v>
      </c>
      <c r="C398" s="25" t="s">
        <v>325</v>
      </c>
      <c r="D398" s="25" t="s">
        <v>1164</v>
      </c>
      <c r="E398" s="25" t="s">
        <v>297</v>
      </c>
      <c r="F398" s="25" t="s">
        <v>162</v>
      </c>
      <c r="G398" s="33">
        <v>1100000</v>
      </c>
      <c r="H398" s="25" t="s">
        <v>1165</v>
      </c>
      <c r="I398" s="26" t="s">
        <v>135</v>
      </c>
      <c r="J398" s="25">
        <v>3</v>
      </c>
    </row>
    <row r="399" spans="1:10" x14ac:dyDescent="0.25">
      <c r="A399" s="32">
        <v>46297</v>
      </c>
      <c r="B399" s="27" t="s">
        <v>298</v>
      </c>
      <c r="C399" s="25" t="s">
        <v>325</v>
      </c>
      <c r="D399" s="25" t="s">
        <v>1166</v>
      </c>
      <c r="E399" s="25" t="s">
        <v>297</v>
      </c>
      <c r="F399" s="25" t="s">
        <v>162</v>
      </c>
      <c r="G399" s="33">
        <v>1700000</v>
      </c>
      <c r="H399" s="25" t="s">
        <v>1167</v>
      </c>
      <c r="I399" s="26" t="s">
        <v>278</v>
      </c>
      <c r="J399" s="25">
        <v>2</v>
      </c>
    </row>
    <row r="400" spans="1:10" x14ac:dyDescent="0.25">
      <c r="A400" s="32">
        <v>46297</v>
      </c>
      <c r="B400" s="27" t="s">
        <v>298</v>
      </c>
      <c r="C400" s="25" t="s">
        <v>325</v>
      </c>
      <c r="D400" s="25" t="s">
        <v>1168</v>
      </c>
      <c r="E400" s="25" t="s">
        <v>297</v>
      </c>
      <c r="F400" s="25" t="s">
        <v>162</v>
      </c>
      <c r="G400" s="33">
        <v>1700000</v>
      </c>
      <c r="H400" s="25" t="s">
        <v>1169</v>
      </c>
      <c r="I400" s="26" t="s">
        <v>281</v>
      </c>
      <c r="J400" s="25">
        <v>2</v>
      </c>
    </row>
    <row r="401" spans="1:10" x14ac:dyDescent="0.25">
      <c r="A401" s="32">
        <v>46297</v>
      </c>
      <c r="B401" s="27" t="s">
        <v>298</v>
      </c>
      <c r="C401" s="25" t="s">
        <v>325</v>
      </c>
      <c r="D401" s="25" t="s">
        <v>1170</v>
      </c>
      <c r="E401" s="25" t="s">
        <v>297</v>
      </c>
      <c r="F401" s="25" t="s">
        <v>162</v>
      </c>
      <c r="G401" s="33">
        <v>1700000</v>
      </c>
      <c r="H401" s="25" t="s">
        <v>1171</v>
      </c>
      <c r="I401" s="34" t="s">
        <v>345</v>
      </c>
      <c r="J401" s="25">
        <v>2</v>
      </c>
    </row>
    <row r="402" spans="1:10" x14ac:dyDescent="0.25">
      <c r="A402" s="32">
        <v>46297</v>
      </c>
      <c r="B402" s="27" t="s">
        <v>298</v>
      </c>
      <c r="C402" s="25" t="s">
        <v>355</v>
      </c>
      <c r="D402" s="25" t="s">
        <v>1172</v>
      </c>
      <c r="E402" s="25" t="s">
        <v>297</v>
      </c>
      <c r="F402" s="25" t="s">
        <v>159</v>
      </c>
      <c r="G402" s="33">
        <v>1727000</v>
      </c>
      <c r="H402" s="25" t="s">
        <v>1173</v>
      </c>
      <c r="I402" s="26" t="s">
        <v>105</v>
      </c>
      <c r="J402" s="25">
        <v>3</v>
      </c>
    </row>
    <row r="403" spans="1:10" x14ac:dyDescent="0.25">
      <c r="A403" s="25"/>
      <c r="B403" s="25"/>
      <c r="C403" s="25"/>
      <c r="D403" s="25"/>
      <c r="E403" s="25"/>
      <c r="F403" s="25"/>
      <c r="G403" s="33">
        <v>6375000</v>
      </c>
      <c r="H403" s="36"/>
      <c r="I403" s="25" t="s">
        <v>65</v>
      </c>
      <c r="J403" s="25">
        <v>1</v>
      </c>
    </row>
    <row r="404" spans="1:10" x14ac:dyDescent="0.25">
      <c r="A404" s="37"/>
      <c r="B404" s="37"/>
      <c r="C404" s="37"/>
      <c r="D404" s="37"/>
      <c r="E404" s="37"/>
      <c r="F404" s="37"/>
      <c r="G404" s="33">
        <v>8515000</v>
      </c>
      <c r="H404" s="38"/>
      <c r="I404" s="25" t="s">
        <v>72</v>
      </c>
      <c r="J404" s="25">
        <v>2</v>
      </c>
    </row>
    <row r="405" spans="1:10" x14ac:dyDescent="0.25">
      <c r="A405" s="25"/>
      <c r="B405" s="25"/>
      <c r="C405" s="25"/>
      <c r="D405" s="25"/>
      <c r="E405" s="25"/>
      <c r="F405" s="25"/>
      <c r="G405" s="39">
        <v>7000000</v>
      </c>
      <c r="H405" s="36"/>
      <c r="I405" s="34" t="s">
        <v>71</v>
      </c>
      <c r="J405" s="25">
        <v>2</v>
      </c>
    </row>
    <row r="406" spans="1:10" x14ac:dyDescent="0.25">
      <c r="A406" s="25"/>
      <c r="B406" s="25"/>
      <c r="C406" s="25"/>
      <c r="D406" s="25"/>
      <c r="E406" s="25"/>
      <c r="F406" s="25"/>
      <c r="G406" s="39">
        <v>8500000</v>
      </c>
      <c r="H406" s="36"/>
      <c r="I406" s="25" t="s">
        <v>73</v>
      </c>
      <c r="J406" s="26">
        <v>2</v>
      </c>
    </row>
    <row r="407" spans="1:10" x14ac:dyDescent="0.25">
      <c r="A407" s="25"/>
      <c r="B407" s="25"/>
      <c r="C407" s="25"/>
      <c r="D407" s="25"/>
      <c r="E407" s="25"/>
      <c r="F407" s="25"/>
      <c r="G407" s="39">
        <v>6257000</v>
      </c>
      <c r="H407" s="36"/>
      <c r="I407" s="34" t="s">
        <v>77</v>
      </c>
      <c r="J407" s="26">
        <v>2</v>
      </c>
    </row>
    <row r="408" spans="1:10" x14ac:dyDescent="0.25">
      <c r="A408" s="25"/>
      <c r="B408" s="25"/>
      <c r="C408" s="25"/>
      <c r="D408" s="25"/>
      <c r="E408" s="25"/>
      <c r="F408" s="25"/>
      <c r="G408" s="39">
        <v>850000</v>
      </c>
      <c r="H408" s="36"/>
      <c r="I408" s="34" t="s">
        <v>79</v>
      </c>
      <c r="J408" s="26">
        <v>2</v>
      </c>
    </row>
    <row r="409" spans="1:10" x14ac:dyDescent="0.25">
      <c r="A409" s="25"/>
      <c r="B409" s="25"/>
      <c r="C409" s="25"/>
      <c r="D409" s="25"/>
      <c r="E409" s="25"/>
      <c r="F409" s="25"/>
      <c r="G409" s="40">
        <v>8500000</v>
      </c>
      <c r="H409" s="36"/>
      <c r="I409" s="25" t="s">
        <v>46</v>
      </c>
      <c r="J409" s="25">
        <v>2</v>
      </c>
    </row>
    <row r="410" spans="1:10" x14ac:dyDescent="0.25">
      <c r="A410" s="25"/>
      <c r="B410" s="25"/>
      <c r="C410" s="25"/>
      <c r="D410" s="25"/>
      <c r="E410" s="25"/>
      <c r="F410" s="25"/>
      <c r="G410" s="40">
        <v>7300000</v>
      </c>
      <c r="H410" s="29" t="s">
        <v>169</v>
      </c>
      <c r="I410" s="25" t="s">
        <v>111</v>
      </c>
      <c r="J410" s="26">
        <v>1</v>
      </c>
    </row>
    <row r="411" spans="1:10" x14ac:dyDescent="0.25">
      <c r="A411" s="25"/>
      <c r="B411" s="25"/>
      <c r="C411" s="25"/>
      <c r="D411" s="25"/>
      <c r="E411" s="25"/>
      <c r="F411" s="25"/>
      <c r="G411" s="40">
        <v>3081000</v>
      </c>
      <c r="H411" s="36"/>
      <c r="I411" s="25" t="s">
        <v>112</v>
      </c>
      <c r="J411" s="26">
        <v>1</v>
      </c>
    </row>
    <row r="412" spans="1:10" x14ac:dyDescent="0.25">
      <c r="A412" s="25"/>
      <c r="B412" s="25"/>
      <c r="C412" s="25"/>
      <c r="D412" s="25"/>
      <c r="E412" s="25"/>
      <c r="F412" s="25"/>
      <c r="G412" s="41">
        <v>7225000</v>
      </c>
      <c r="H412" s="29" t="s">
        <v>169</v>
      </c>
      <c r="I412" s="25" t="s">
        <v>119</v>
      </c>
      <c r="J412" s="26">
        <v>1</v>
      </c>
    </row>
    <row r="413" spans="1:10" x14ac:dyDescent="0.25">
      <c r="A413" s="25"/>
      <c r="B413" s="25"/>
      <c r="C413" s="25"/>
      <c r="D413" s="25"/>
      <c r="E413" s="25"/>
      <c r="F413" s="25"/>
      <c r="G413" s="40">
        <v>8500000</v>
      </c>
      <c r="H413" s="29" t="s">
        <v>169</v>
      </c>
      <c r="I413" s="34" t="s">
        <v>129</v>
      </c>
      <c r="J413" s="26">
        <v>1</v>
      </c>
    </row>
    <row r="414" spans="1:10" x14ac:dyDescent="0.25">
      <c r="A414" s="25"/>
      <c r="B414" s="25"/>
      <c r="C414" s="25"/>
      <c r="D414" s="25"/>
      <c r="E414" s="25"/>
      <c r="F414" s="25"/>
      <c r="G414" s="33">
        <v>1280000</v>
      </c>
      <c r="H414" s="28" t="s">
        <v>195</v>
      </c>
      <c r="I414" s="34" t="s">
        <v>110</v>
      </c>
      <c r="J414" s="26">
        <v>1</v>
      </c>
    </row>
    <row r="415" spans="1:10" x14ac:dyDescent="0.25">
      <c r="A415" s="25"/>
      <c r="B415" s="25"/>
      <c r="C415" s="25"/>
      <c r="D415" s="25"/>
      <c r="E415" s="25"/>
      <c r="F415" s="25"/>
      <c r="G415" s="33">
        <v>5000000</v>
      </c>
      <c r="H415" s="28" t="s">
        <v>195</v>
      </c>
      <c r="I415" s="25" t="s">
        <v>126</v>
      </c>
      <c r="J415" s="25">
        <v>1</v>
      </c>
    </row>
    <row r="416" spans="1:10" x14ac:dyDescent="0.25">
      <c r="A416" s="25"/>
      <c r="B416" s="25"/>
      <c r="C416" s="25"/>
      <c r="D416" s="25"/>
      <c r="E416" s="25"/>
      <c r="F416" s="25"/>
      <c r="G416" s="33">
        <v>3160000</v>
      </c>
      <c r="H416" s="36"/>
      <c r="I416" s="25" t="s">
        <v>78</v>
      </c>
      <c r="J416" s="26">
        <v>2</v>
      </c>
    </row>
  </sheetData>
  <autoFilter ref="A1:J274" xr:uid="{4EA737BB-CF52-4452-AAB5-5A48AEA4BB67}">
    <sortState xmlns:xlrd2="http://schemas.microsoft.com/office/spreadsheetml/2017/richdata2" ref="A2:J416">
      <sortCondition ref="B1:B274"/>
    </sortState>
  </autoFilter>
  <conditionalFormatting sqref="I2">
    <cfRule type="duplicateValues" dxfId="1028" priority="778"/>
    <cfRule type="duplicateValues" dxfId="1027" priority="779"/>
    <cfRule type="duplicateValues" dxfId="1026" priority="780"/>
  </conditionalFormatting>
  <conditionalFormatting sqref="I3">
    <cfRule type="duplicateValues" dxfId="1025" priority="775"/>
    <cfRule type="duplicateValues" dxfId="1024" priority="776"/>
    <cfRule type="duplicateValues" dxfId="1023" priority="777"/>
  </conditionalFormatting>
  <conditionalFormatting sqref="I4">
    <cfRule type="duplicateValues" dxfId="1022" priority="772"/>
    <cfRule type="duplicateValues" dxfId="1021" priority="773"/>
    <cfRule type="duplicateValues" dxfId="1020" priority="774"/>
  </conditionalFormatting>
  <conditionalFormatting sqref="I5">
    <cfRule type="duplicateValues" dxfId="1019" priority="769"/>
    <cfRule type="duplicateValues" dxfId="1018" priority="770"/>
    <cfRule type="duplicateValues" dxfId="1017" priority="771"/>
  </conditionalFormatting>
  <conditionalFormatting sqref="I6">
    <cfRule type="duplicateValues" dxfId="1016" priority="766"/>
    <cfRule type="duplicateValues" dxfId="1015" priority="767"/>
    <cfRule type="duplicateValues" dxfId="1014" priority="768"/>
  </conditionalFormatting>
  <conditionalFormatting sqref="I7">
    <cfRule type="duplicateValues" dxfId="1013" priority="763"/>
    <cfRule type="duplicateValues" dxfId="1012" priority="764"/>
    <cfRule type="duplicateValues" dxfId="1011" priority="765"/>
  </conditionalFormatting>
  <conditionalFormatting sqref="I8">
    <cfRule type="duplicateValues" dxfId="1010" priority="760"/>
    <cfRule type="duplicateValues" dxfId="1009" priority="761"/>
    <cfRule type="duplicateValues" dxfId="1008" priority="762"/>
  </conditionalFormatting>
  <conditionalFormatting sqref="I9">
    <cfRule type="duplicateValues" dxfId="1007" priority="757"/>
    <cfRule type="duplicateValues" dxfId="1006" priority="758"/>
    <cfRule type="duplicateValues" dxfId="1005" priority="759"/>
  </conditionalFormatting>
  <conditionalFormatting sqref="I10">
    <cfRule type="duplicateValues" dxfId="1004" priority="754"/>
    <cfRule type="duplicateValues" dxfId="1003" priority="755"/>
    <cfRule type="duplicateValues" dxfId="1002" priority="756"/>
  </conditionalFormatting>
  <conditionalFormatting sqref="I11">
    <cfRule type="duplicateValues" dxfId="1001" priority="751"/>
    <cfRule type="duplicateValues" dxfId="1000" priority="752"/>
    <cfRule type="duplicateValues" dxfId="999" priority="753"/>
  </conditionalFormatting>
  <conditionalFormatting sqref="I12">
    <cfRule type="duplicateValues" dxfId="998" priority="745"/>
    <cfRule type="duplicateValues" dxfId="997" priority="746"/>
    <cfRule type="duplicateValues" dxfId="996" priority="747"/>
  </conditionalFormatting>
  <conditionalFormatting sqref="I13">
    <cfRule type="duplicateValues" dxfId="995" priority="742"/>
    <cfRule type="duplicateValues" dxfId="994" priority="743"/>
    <cfRule type="duplicateValues" dxfId="993" priority="744"/>
  </conditionalFormatting>
  <conditionalFormatting sqref="I15">
    <cfRule type="duplicateValues" dxfId="992" priority="739"/>
    <cfRule type="duplicateValues" dxfId="991" priority="740"/>
    <cfRule type="duplicateValues" dxfId="990" priority="741"/>
  </conditionalFormatting>
  <conditionalFormatting sqref="I16">
    <cfRule type="duplicateValues" dxfId="989" priority="736"/>
    <cfRule type="duplicateValues" dxfId="988" priority="737"/>
    <cfRule type="duplicateValues" dxfId="987" priority="738"/>
  </conditionalFormatting>
  <conditionalFormatting sqref="I17">
    <cfRule type="duplicateValues" dxfId="986" priority="733"/>
    <cfRule type="duplicateValues" dxfId="985" priority="734"/>
    <cfRule type="duplicateValues" dxfId="984" priority="735"/>
  </conditionalFormatting>
  <conditionalFormatting sqref="I18">
    <cfRule type="duplicateValues" dxfId="983" priority="730"/>
    <cfRule type="duplicateValues" dxfId="982" priority="731"/>
    <cfRule type="duplicateValues" dxfId="981" priority="732"/>
  </conditionalFormatting>
  <conditionalFormatting sqref="I19">
    <cfRule type="duplicateValues" dxfId="980" priority="727"/>
    <cfRule type="duplicateValues" dxfId="979" priority="728"/>
    <cfRule type="duplicateValues" dxfId="978" priority="729"/>
  </conditionalFormatting>
  <conditionalFormatting sqref="I20">
    <cfRule type="duplicateValues" dxfId="977" priority="724"/>
    <cfRule type="duplicateValues" dxfId="976" priority="725"/>
    <cfRule type="duplicateValues" dxfId="975" priority="726"/>
  </conditionalFormatting>
  <conditionalFormatting sqref="I21">
    <cfRule type="duplicateValues" dxfId="974" priority="721"/>
    <cfRule type="duplicateValues" dxfId="973" priority="722"/>
    <cfRule type="duplicateValues" dxfId="972" priority="723"/>
  </conditionalFormatting>
  <conditionalFormatting sqref="I22">
    <cfRule type="duplicateValues" dxfId="971" priority="718"/>
    <cfRule type="duplicateValues" dxfId="970" priority="719"/>
    <cfRule type="duplicateValues" dxfId="969" priority="720"/>
  </conditionalFormatting>
  <conditionalFormatting sqref="I25">
    <cfRule type="duplicateValues" dxfId="968" priority="715"/>
    <cfRule type="duplicateValues" dxfId="967" priority="716"/>
    <cfRule type="duplicateValues" dxfId="966" priority="717"/>
  </conditionalFormatting>
  <conditionalFormatting sqref="I26">
    <cfRule type="duplicateValues" dxfId="965" priority="712"/>
    <cfRule type="duplicateValues" dxfId="964" priority="713"/>
    <cfRule type="duplicateValues" dxfId="963" priority="714"/>
  </conditionalFormatting>
  <conditionalFormatting sqref="I27">
    <cfRule type="duplicateValues" dxfId="962" priority="709"/>
    <cfRule type="duplicateValues" dxfId="961" priority="710"/>
    <cfRule type="duplicateValues" dxfId="960" priority="711"/>
  </conditionalFormatting>
  <conditionalFormatting sqref="I28">
    <cfRule type="duplicateValues" dxfId="959" priority="706"/>
    <cfRule type="duplicateValues" dxfId="958" priority="707"/>
    <cfRule type="duplicateValues" dxfId="957" priority="708"/>
  </conditionalFormatting>
  <conditionalFormatting sqref="I29">
    <cfRule type="duplicateValues" dxfId="956" priority="703"/>
    <cfRule type="duplicateValues" dxfId="955" priority="704"/>
    <cfRule type="duplicateValues" dxfId="954" priority="705"/>
  </conditionalFormatting>
  <conditionalFormatting sqref="I30">
    <cfRule type="duplicateValues" dxfId="953" priority="700"/>
    <cfRule type="duplicateValues" dxfId="952" priority="701"/>
    <cfRule type="duplicateValues" dxfId="951" priority="702"/>
  </conditionalFormatting>
  <conditionalFormatting sqref="I31">
    <cfRule type="duplicateValues" dxfId="950" priority="697"/>
    <cfRule type="duplicateValues" dxfId="949" priority="698"/>
    <cfRule type="duplicateValues" dxfId="948" priority="699"/>
  </conditionalFormatting>
  <conditionalFormatting sqref="I32">
    <cfRule type="duplicateValues" dxfId="947" priority="694"/>
    <cfRule type="duplicateValues" dxfId="946" priority="695"/>
    <cfRule type="duplicateValues" dxfId="945" priority="696"/>
  </conditionalFormatting>
  <conditionalFormatting sqref="I33">
    <cfRule type="duplicateValues" dxfId="944" priority="691"/>
    <cfRule type="duplicateValues" dxfId="943" priority="692"/>
    <cfRule type="duplicateValues" dxfId="942" priority="693"/>
  </conditionalFormatting>
  <conditionalFormatting sqref="I34">
    <cfRule type="duplicateValues" dxfId="941" priority="688"/>
    <cfRule type="duplicateValues" dxfId="940" priority="689"/>
    <cfRule type="duplicateValues" dxfId="939" priority="690"/>
  </conditionalFormatting>
  <conditionalFormatting sqref="I35">
    <cfRule type="duplicateValues" dxfId="938" priority="685"/>
    <cfRule type="duplicateValues" dxfId="937" priority="686"/>
    <cfRule type="duplicateValues" dxfId="936" priority="687"/>
  </conditionalFormatting>
  <conditionalFormatting sqref="I36">
    <cfRule type="duplicateValues" dxfId="935" priority="682"/>
    <cfRule type="duplicateValues" dxfId="934" priority="683"/>
    <cfRule type="duplicateValues" dxfId="933" priority="684"/>
  </conditionalFormatting>
  <conditionalFormatting sqref="I37">
    <cfRule type="duplicateValues" dxfId="932" priority="679"/>
    <cfRule type="duplicateValues" dxfId="931" priority="680"/>
    <cfRule type="duplicateValues" dxfId="930" priority="681"/>
  </conditionalFormatting>
  <conditionalFormatting sqref="I38">
    <cfRule type="duplicateValues" dxfId="929" priority="676"/>
    <cfRule type="duplicateValues" dxfId="928" priority="677"/>
    <cfRule type="duplicateValues" dxfId="927" priority="678"/>
  </conditionalFormatting>
  <conditionalFormatting sqref="I39">
    <cfRule type="duplicateValues" dxfId="926" priority="673"/>
    <cfRule type="duplicateValues" dxfId="925" priority="674"/>
    <cfRule type="duplicateValues" dxfId="924" priority="675"/>
  </conditionalFormatting>
  <conditionalFormatting sqref="I40">
    <cfRule type="duplicateValues" dxfId="923" priority="670"/>
    <cfRule type="duplicateValues" dxfId="922" priority="671"/>
    <cfRule type="duplicateValues" dxfId="921" priority="672"/>
  </conditionalFormatting>
  <conditionalFormatting sqref="I41">
    <cfRule type="duplicateValues" dxfId="920" priority="667"/>
    <cfRule type="duplicateValues" dxfId="919" priority="668"/>
    <cfRule type="duplicateValues" dxfId="918" priority="669"/>
  </conditionalFormatting>
  <conditionalFormatting sqref="I42">
    <cfRule type="duplicateValues" dxfId="917" priority="664"/>
    <cfRule type="duplicateValues" dxfId="916" priority="665"/>
    <cfRule type="duplicateValues" dxfId="915" priority="666"/>
  </conditionalFormatting>
  <conditionalFormatting sqref="I43">
    <cfRule type="duplicateValues" dxfId="914" priority="661"/>
    <cfRule type="duplicateValues" dxfId="913" priority="662"/>
    <cfRule type="duplicateValues" dxfId="912" priority="663"/>
  </conditionalFormatting>
  <conditionalFormatting sqref="I44">
    <cfRule type="duplicateValues" dxfId="911" priority="658"/>
    <cfRule type="duplicateValues" dxfId="910" priority="659"/>
    <cfRule type="duplicateValues" dxfId="909" priority="660"/>
  </conditionalFormatting>
  <conditionalFormatting sqref="I45">
    <cfRule type="duplicateValues" dxfId="908" priority="655"/>
    <cfRule type="duplicateValues" dxfId="907" priority="656"/>
    <cfRule type="duplicateValues" dxfId="906" priority="657"/>
  </conditionalFormatting>
  <conditionalFormatting sqref="I46">
    <cfRule type="duplicateValues" dxfId="905" priority="652"/>
    <cfRule type="duplicateValues" dxfId="904" priority="653"/>
    <cfRule type="duplicateValues" dxfId="903" priority="654"/>
  </conditionalFormatting>
  <conditionalFormatting sqref="I47">
    <cfRule type="duplicateValues" dxfId="902" priority="649"/>
    <cfRule type="duplicateValues" dxfId="901" priority="650"/>
    <cfRule type="duplicateValues" dxfId="900" priority="651"/>
  </conditionalFormatting>
  <conditionalFormatting sqref="I48">
    <cfRule type="duplicateValues" dxfId="899" priority="646"/>
    <cfRule type="duplicateValues" dxfId="898" priority="647"/>
    <cfRule type="duplicateValues" dxfId="897" priority="648"/>
  </conditionalFormatting>
  <conditionalFormatting sqref="I49">
    <cfRule type="duplicateValues" dxfId="896" priority="643"/>
    <cfRule type="duplicateValues" dxfId="895" priority="644"/>
    <cfRule type="duplicateValues" dxfId="894" priority="645"/>
  </conditionalFormatting>
  <conditionalFormatting sqref="I50">
    <cfRule type="duplicateValues" dxfId="893" priority="640"/>
    <cfRule type="duplicateValues" dxfId="892" priority="641"/>
    <cfRule type="duplicateValues" dxfId="891" priority="642"/>
  </conditionalFormatting>
  <conditionalFormatting sqref="I51">
    <cfRule type="duplicateValues" dxfId="890" priority="637"/>
    <cfRule type="duplicateValues" dxfId="889" priority="638"/>
    <cfRule type="duplicateValues" dxfId="888" priority="639"/>
  </conditionalFormatting>
  <conditionalFormatting sqref="I52">
    <cfRule type="duplicateValues" dxfId="887" priority="634"/>
    <cfRule type="duplicateValues" dxfId="886" priority="635"/>
    <cfRule type="duplicateValues" dxfId="885" priority="636"/>
  </conditionalFormatting>
  <conditionalFormatting sqref="I53">
    <cfRule type="duplicateValues" dxfId="884" priority="631"/>
    <cfRule type="duplicateValues" dxfId="883" priority="632"/>
    <cfRule type="duplicateValues" dxfId="882" priority="633"/>
  </conditionalFormatting>
  <conditionalFormatting sqref="I54">
    <cfRule type="duplicateValues" dxfId="881" priority="628"/>
    <cfRule type="duplicateValues" dxfId="880" priority="629"/>
    <cfRule type="duplicateValues" dxfId="879" priority="630"/>
  </conditionalFormatting>
  <conditionalFormatting sqref="I55">
    <cfRule type="duplicateValues" dxfId="878" priority="625"/>
    <cfRule type="duplicateValues" dxfId="877" priority="626"/>
    <cfRule type="duplicateValues" dxfId="876" priority="627"/>
  </conditionalFormatting>
  <conditionalFormatting sqref="I61">
    <cfRule type="duplicateValues" dxfId="875" priority="622"/>
    <cfRule type="duplicateValues" dxfId="874" priority="623"/>
    <cfRule type="duplicateValues" dxfId="873" priority="624"/>
  </conditionalFormatting>
  <conditionalFormatting sqref="I62">
    <cfRule type="duplicateValues" dxfId="872" priority="619"/>
    <cfRule type="duplicateValues" dxfId="871" priority="620"/>
    <cfRule type="duplicateValues" dxfId="870" priority="621"/>
  </conditionalFormatting>
  <conditionalFormatting sqref="I63">
    <cfRule type="duplicateValues" dxfId="869" priority="616"/>
    <cfRule type="duplicateValues" dxfId="868" priority="617"/>
    <cfRule type="duplicateValues" dxfId="867" priority="618"/>
  </conditionalFormatting>
  <conditionalFormatting sqref="I64">
    <cfRule type="duplicateValues" dxfId="866" priority="613"/>
    <cfRule type="duplicateValues" dxfId="865" priority="614"/>
    <cfRule type="duplicateValues" dxfId="864" priority="615"/>
  </conditionalFormatting>
  <conditionalFormatting sqref="I65">
    <cfRule type="duplicateValues" dxfId="863" priority="610"/>
    <cfRule type="duplicateValues" dxfId="862" priority="611"/>
    <cfRule type="duplicateValues" dxfId="861" priority="612"/>
  </conditionalFormatting>
  <conditionalFormatting sqref="I66">
    <cfRule type="duplicateValues" dxfId="860" priority="607"/>
    <cfRule type="duplicateValues" dxfId="859" priority="608"/>
    <cfRule type="duplicateValues" dxfId="858" priority="609"/>
  </conditionalFormatting>
  <conditionalFormatting sqref="I67">
    <cfRule type="duplicateValues" dxfId="857" priority="604"/>
    <cfRule type="duplicateValues" dxfId="856" priority="605"/>
    <cfRule type="duplicateValues" dxfId="855" priority="606"/>
  </conditionalFormatting>
  <conditionalFormatting sqref="I68">
    <cfRule type="duplicateValues" dxfId="854" priority="601"/>
    <cfRule type="duplicateValues" dxfId="853" priority="602"/>
    <cfRule type="duplicateValues" dxfId="852" priority="603"/>
  </conditionalFormatting>
  <conditionalFormatting sqref="I69">
    <cfRule type="duplicateValues" dxfId="851" priority="598"/>
    <cfRule type="duplicateValues" dxfId="850" priority="599"/>
    <cfRule type="duplicateValues" dxfId="849" priority="600"/>
  </conditionalFormatting>
  <conditionalFormatting sqref="I70">
    <cfRule type="duplicateValues" dxfId="848" priority="595"/>
    <cfRule type="duplicateValues" dxfId="847" priority="596"/>
    <cfRule type="duplicateValues" dxfId="846" priority="597"/>
  </conditionalFormatting>
  <conditionalFormatting sqref="I71">
    <cfRule type="duplicateValues" dxfId="845" priority="592"/>
    <cfRule type="duplicateValues" dxfId="844" priority="593"/>
    <cfRule type="duplicateValues" dxfId="843" priority="594"/>
  </conditionalFormatting>
  <conditionalFormatting sqref="I72">
    <cfRule type="duplicateValues" dxfId="842" priority="589"/>
    <cfRule type="duplicateValues" dxfId="841" priority="590"/>
    <cfRule type="duplicateValues" dxfId="840" priority="591"/>
  </conditionalFormatting>
  <conditionalFormatting sqref="I73">
    <cfRule type="duplicateValues" dxfId="839" priority="586"/>
    <cfRule type="duplicateValues" dxfId="838" priority="587"/>
    <cfRule type="duplicateValues" dxfId="837" priority="588"/>
  </conditionalFormatting>
  <conditionalFormatting sqref="I74">
    <cfRule type="duplicateValues" dxfId="836" priority="583"/>
    <cfRule type="duplicateValues" dxfId="835" priority="584"/>
    <cfRule type="duplicateValues" dxfId="834" priority="585"/>
  </conditionalFormatting>
  <conditionalFormatting sqref="I75">
    <cfRule type="duplicateValues" dxfId="833" priority="580"/>
    <cfRule type="duplicateValues" dxfId="832" priority="581"/>
    <cfRule type="duplicateValues" dxfId="831" priority="582"/>
  </conditionalFormatting>
  <conditionalFormatting sqref="I76">
    <cfRule type="duplicateValues" dxfId="830" priority="577"/>
    <cfRule type="duplicateValues" dxfId="829" priority="578"/>
    <cfRule type="duplicateValues" dxfId="828" priority="579"/>
  </conditionalFormatting>
  <conditionalFormatting sqref="I77">
    <cfRule type="duplicateValues" dxfId="827" priority="574"/>
    <cfRule type="duplicateValues" dxfId="826" priority="575"/>
    <cfRule type="duplicateValues" dxfId="825" priority="576"/>
  </conditionalFormatting>
  <conditionalFormatting sqref="I78">
    <cfRule type="duplicateValues" dxfId="824" priority="571"/>
    <cfRule type="duplicateValues" dxfId="823" priority="572"/>
    <cfRule type="duplicateValues" dxfId="822" priority="573"/>
  </conditionalFormatting>
  <conditionalFormatting sqref="I79">
    <cfRule type="duplicateValues" dxfId="821" priority="568"/>
    <cfRule type="duplicateValues" dxfId="820" priority="569"/>
    <cfRule type="duplicateValues" dxfId="819" priority="570"/>
  </conditionalFormatting>
  <conditionalFormatting sqref="I80">
    <cfRule type="duplicateValues" dxfId="818" priority="565"/>
    <cfRule type="duplicateValues" dxfId="817" priority="566"/>
    <cfRule type="duplicateValues" dxfId="816" priority="567"/>
  </conditionalFormatting>
  <conditionalFormatting sqref="I81">
    <cfRule type="duplicateValues" dxfId="815" priority="562"/>
    <cfRule type="duplicateValues" dxfId="814" priority="563"/>
    <cfRule type="duplicateValues" dxfId="813" priority="564"/>
  </conditionalFormatting>
  <conditionalFormatting sqref="I82">
    <cfRule type="duplicateValues" dxfId="812" priority="559"/>
    <cfRule type="duplicateValues" dxfId="811" priority="560"/>
    <cfRule type="duplicateValues" dxfId="810" priority="561"/>
  </conditionalFormatting>
  <conditionalFormatting sqref="I83">
    <cfRule type="duplicateValues" dxfId="809" priority="556"/>
    <cfRule type="duplicateValues" dxfId="808" priority="557"/>
    <cfRule type="duplicateValues" dxfId="807" priority="558"/>
  </conditionalFormatting>
  <conditionalFormatting sqref="I84">
    <cfRule type="duplicateValues" dxfId="806" priority="553"/>
    <cfRule type="duplicateValues" dxfId="805" priority="554"/>
    <cfRule type="duplicateValues" dxfId="804" priority="555"/>
  </conditionalFormatting>
  <conditionalFormatting sqref="I85">
    <cfRule type="duplicateValues" dxfId="803" priority="550"/>
    <cfRule type="duplicateValues" dxfId="802" priority="551"/>
    <cfRule type="duplicateValues" dxfId="801" priority="552"/>
  </conditionalFormatting>
  <conditionalFormatting sqref="I86">
    <cfRule type="duplicateValues" dxfId="800" priority="547"/>
    <cfRule type="duplicateValues" dxfId="799" priority="548"/>
    <cfRule type="duplicateValues" dxfId="798" priority="549"/>
  </conditionalFormatting>
  <conditionalFormatting sqref="I87">
    <cfRule type="duplicateValues" dxfId="797" priority="544"/>
    <cfRule type="duplicateValues" dxfId="796" priority="545"/>
    <cfRule type="duplicateValues" dxfId="795" priority="546"/>
  </conditionalFormatting>
  <conditionalFormatting sqref="I88">
    <cfRule type="duplicateValues" dxfId="794" priority="541"/>
    <cfRule type="duplicateValues" dxfId="793" priority="542"/>
    <cfRule type="duplicateValues" dxfId="792" priority="543"/>
  </conditionalFormatting>
  <conditionalFormatting sqref="I89">
    <cfRule type="duplicateValues" dxfId="791" priority="538"/>
    <cfRule type="duplicateValues" dxfId="790" priority="539"/>
    <cfRule type="duplicateValues" dxfId="789" priority="540"/>
  </conditionalFormatting>
  <conditionalFormatting sqref="I90">
    <cfRule type="duplicateValues" dxfId="788" priority="535"/>
    <cfRule type="duplicateValues" dxfId="787" priority="536"/>
    <cfRule type="duplicateValues" dxfId="786" priority="537"/>
  </conditionalFormatting>
  <conditionalFormatting sqref="I91">
    <cfRule type="duplicateValues" dxfId="785" priority="532"/>
    <cfRule type="duplicateValues" dxfId="784" priority="533"/>
    <cfRule type="duplicateValues" dxfId="783" priority="534"/>
  </conditionalFormatting>
  <conditionalFormatting sqref="I92">
    <cfRule type="duplicateValues" dxfId="782" priority="529"/>
    <cfRule type="duplicateValues" dxfId="781" priority="530"/>
    <cfRule type="duplicateValues" dxfId="780" priority="531"/>
  </conditionalFormatting>
  <conditionalFormatting sqref="I93">
    <cfRule type="duplicateValues" dxfId="779" priority="526"/>
    <cfRule type="duplicateValues" dxfId="778" priority="527"/>
    <cfRule type="duplicateValues" dxfId="777" priority="528"/>
  </conditionalFormatting>
  <conditionalFormatting sqref="I94">
    <cfRule type="duplicateValues" dxfId="776" priority="523"/>
    <cfRule type="duplicateValues" dxfId="775" priority="524"/>
    <cfRule type="duplicateValues" dxfId="774" priority="525"/>
  </conditionalFormatting>
  <conditionalFormatting sqref="I95">
    <cfRule type="duplicateValues" dxfId="773" priority="520"/>
    <cfRule type="duplicateValues" dxfId="772" priority="521"/>
    <cfRule type="duplicateValues" dxfId="771" priority="522"/>
  </conditionalFormatting>
  <conditionalFormatting sqref="I96">
    <cfRule type="duplicateValues" dxfId="770" priority="514"/>
    <cfRule type="duplicateValues" dxfId="769" priority="515"/>
    <cfRule type="duplicateValues" dxfId="768" priority="516"/>
  </conditionalFormatting>
  <conditionalFormatting sqref="I97">
    <cfRule type="duplicateValues" dxfId="767" priority="511"/>
    <cfRule type="duplicateValues" dxfId="766" priority="512"/>
    <cfRule type="duplicateValues" dxfId="765" priority="513"/>
  </conditionalFormatting>
  <conditionalFormatting sqref="I98">
    <cfRule type="duplicateValues" dxfId="764" priority="508"/>
    <cfRule type="duplicateValues" dxfId="763" priority="509"/>
    <cfRule type="duplicateValues" dxfId="762" priority="510"/>
  </conditionalFormatting>
  <conditionalFormatting sqref="I99">
    <cfRule type="duplicateValues" dxfId="761" priority="505"/>
    <cfRule type="duplicateValues" dxfId="760" priority="506"/>
    <cfRule type="duplicateValues" dxfId="759" priority="507"/>
  </conditionalFormatting>
  <conditionalFormatting sqref="I103 I106">
    <cfRule type="duplicateValues" dxfId="758" priority="502"/>
    <cfRule type="duplicateValues" dxfId="757" priority="503"/>
    <cfRule type="duplicateValues" dxfId="756" priority="504"/>
  </conditionalFormatting>
  <conditionalFormatting sqref="I104">
    <cfRule type="duplicateValues" dxfId="755" priority="499"/>
    <cfRule type="duplicateValues" dxfId="754" priority="500"/>
    <cfRule type="duplicateValues" dxfId="753" priority="501"/>
  </conditionalFormatting>
  <conditionalFormatting sqref="I105">
    <cfRule type="duplicateValues" dxfId="752" priority="496"/>
    <cfRule type="duplicateValues" dxfId="751" priority="497"/>
    <cfRule type="duplicateValues" dxfId="750" priority="498"/>
  </conditionalFormatting>
  <conditionalFormatting sqref="I107">
    <cfRule type="duplicateValues" dxfId="749" priority="493"/>
    <cfRule type="duplicateValues" dxfId="748" priority="494"/>
    <cfRule type="duplicateValues" dxfId="747" priority="495"/>
  </conditionalFormatting>
  <conditionalFormatting sqref="I109">
    <cfRule type="duplicateValues" dxfId="746" priority="490"/>
    <cfRule type="duplicateValues" dxfId="745" priority="491"/>
    <cfRule type="duplicateValues" dxfId="744" priority="492"/>
  </conditionalFormatting>
  <conditionalFormatting sqref="I112">
    <cfRule type="duplicateValues" dxfId="743" priority="487"/>
    <cfRule type="duplicateValues" dxfId="742" priority="488"/>
    <cfRule type="duplicateValues" dxfId="741" priority="489"/>
  </conditionalFormatting>
  <conditionalFormatting sqref="I113">
    <cfRule type="duplicateValues" dxfId="740" priority="484"/>
    <cfRule type="duplicateValues" dxfId="739" priority="485"/>
    <cfRule type="duplicateValues" dxfId="738" priority="486"/>
  </conditionalFormatting>
  <conditionalFormatting sqref="I118:I119">
    <cfRule type="duplicateValues" dxfId="737" priority="481"/>
    <cfRule type="duplicateValues" dxfId="736" priority="482"/>
    <cfRule type="duplicateValues" dxfId="735" priority="483"/>
  </conditionalFormatting>
  <conditionalFormatting sqref="I120">
    <cfRule type="duplicateValues" dxfId="734" priority="478"/>
    <cfRule type="duplicateValues" dxfId="733" priority="479"/>
    <cfRule type="duplicateValues" dxfId="732" priority="480"/>
  </conditionalFormatting>
  <conditionalFormatting sqref="I121">
    <cfRule type="duplicateValues" dxfId="731" priority="475"/>
    <cfRule type="duplicateValues" dxfId="730" priority="476"/>
    <cfRule type="duplicateValues" dxfId="729" priority="477"/>
  </conditionalFormatting>
  <conditionalFormatting sqref="I122">
    <cfRule type="duplicateValues" dxfId="728" priority="472"/>
    <cfRule type="duplicateValues" dxfId="727" priority="473"/>
    <cfRule type="duplicateValues" dxfId="726" priority="474"/>
  </conditionalFormatting>
  <conditionalFormatting sqref="I123">
    <cfRule type="duplicateValues" dxfId="725" priority="469"/>
    <cfRule type="duplicateValues" dxfId="724" priority="470"/>
    <cfRule type="duplicateValues" dxfId="723" priority="471"/>
  </conditionalFormatting>
  <conditionalFormatting sqref="I129">
    <cfRule type="duplicateValues" dxfId="722" priority="466"/>
    <cfRule type="duplicateValues" dxfId="721" priority="467"/>
    <cfRule type="duplicateValues" dxfId="720" priority="468"/>
  </conditionalFormatting>
  <conditionalFormatting sqref="I133">
    <cfRule type="duplicateValues" dxfId="719" priority="463"/>
    <cfRule type="duplicateValues" dxfId="718" priority="464"/>
    <cfRule type="duplicateValues" dxfId="717" priority="465"/>
  </conditionalFormatting>
  <conditionalFormatting sqref="I135">
    <cfRule type="duplicateValues" dxfId="716" priority="460"/>
    <cfRule type="duplicateValues" dxfId="715" priority="461"/>
    <cfRule type="duplicateValues" dxfId="714" priority="462"/>
  </conditionalFormatting>
  <conditionalFormatting sqref="I141">
    <cfRule type="duplicateValues" dxfId="713" priority="457"/>
    <cfRule type="duplicateValues" dxfId="712" priority="458"/>
    <cfRule type="duplicateValues" dxfId="711" priority="459"/>
  </conditionalFormatting>
  <conditionalFormatting sqref="I145">
    <cfRule type="duplicateValues" dxfId="710" priority="454"/>
    <cfRule type="duplicateValues" dxfId="709" priority="455"/>
    <cfRule type="duplicateValues" dxfId="708" priority="456"/>
  </conditionalFormatting>
  <conditionalFormatting sqref="I146">
    <cfRule type="duplicateValues" dxfId="707" priority="451"/>
    <cfRule type="duplicateValues" dxfId="706" priority="452"/>
    <cfRule type="duplicateValues" dxfId="705" priority="453"/>
  </conditionalFormatting>
  <conditionalFormatting sqref="I149">
    <cfRule type="duplicateValues" dxfId="704" priority="448"/>
    <cfRule type="duplicateValues" dxfId="703" priority="449"/>
    <cfRule type="duplicateValues" dxfId="702" priority="450"/>
  </conditionalFormatting>
  <conditionalFormatting sqref="I150">
    <cfRule type="duplicateValues" dxfId="701" priority="445"/>
    <cfRule type="duplicateValues" dxfId="700" priority="446"/>
    <cfRule type="duplicateValues" dxfId="699" priority="447"/>
  </conditionalFormatting>
  <conditionalFormatting sqref="I159">
    <cfRule type="duplicateValues" dxfId="698" priority="442"/>
    <cfRule type="duplicateValues" dxfId="697" priority="443"/>
    <cfRule type="duplicateValues" dxfId="696" priority="444"/>
  </conditionalFormatting>
  <conditionalFormatting sqref="I166">
    <cfRule type="duplicateValues" dxfId="695" priority="439"/>
    <cfRule type="duplicateValues" dxfId="694" priority="440"/>
    <cfRule type="duplicateValues" dxfId="693" priority="441"/>
  </conditionalFormatting>
  <conditionalFormatting sqref="I171">
    <cfRule type="duplicateValues" dxfId="692" priority="436"/>
    <cfRule type="duplicateValues" dxfId="691" priority="437"/>
    <cfRule type="duplicateValues" dxfId="690" priority="438"/>
  </conditionalFormatting>
  <conditionalFormatting sqref="I173">
    <cfRule type="duplicateValues" dxfId="689" priority="433"/>
    <cfRule type="duplicateValues" dxfId="688" priority="434"/>
    <cfRule type="duplicateValues" dxfId="687" priority="435"/>
  </conditionalFormatting>
  <conditionalFormatting sqref="I179">
    <cfRule type="duplicateValues" dxfId="686" priority="430"/>
    <cfRule type="duplicateValues" dxfId="685" priority="431"/>
    <cfRule type="duplicateValues" dxfId="684" priority="432"/>
  </conditionalFormatting>
  <conditionalFormatting sqref="I180">
    <cfRule type="duplicateValues" dxfId="683" priority="427"/>
    <cfRule type="duplicateValues" dxfId="682" priority="428"/>
    <cfRule type="duplicateValues" dxfId="681" priority="429"/>
  </conditionalFormatting>
  <conditionalFormatting sqref="I186">
    <cfRule type="duplicateValues" dxfId="680" priority="424"/>
    <cfRule type="duplicateValues" dxfId="679" priority="425"/>
    <cfRule type="duplicateValues" dxfId="678" priority="426"/>
  </conditionalFormatting>
  <conditionalFormatting sqref="I196">
    <cfRule type="duplicateValues" dxfId="677" priority="421"/>
    <cfRule type="duplicateValues" dxfId="676" priority="422"/>
    <cfRule type="duplicateValues" dxfId="675" priority="423"/>
  </conditionalFormatting>
  <conditionalFormatting sqref="I197">
    <cfRule type="duplicateValues" dxfId="674" priority="190"/>
    <cfRule type="duplicateValues" dxfId="673" priority="191"/>
    <cfRule type="duplicateValues" dxfId="672" priority="192"/>
  </conditionalFormatting>
  <conditionalFormatting sqref="I198">
    <cfRule type="duplicateValues" dxfId="671" priority="418"/>
    <cfRule type="duplicateValues" dxfId="670" priority="419"/>
    <cfRule type="duplicateValues" dxfId="669" priority="420"/>
  </conditionalFormatting>
  <conditionalFormatting sqref="I200">
    <cfRule type="duplicateValues" dxfId="668" priority="415"/>
    <cfRule type="duplicateValues" dxfId="667" priority="416"/>
    <cfRule type="duplicateValues" dxfId="666" priority="417"/>
  </conditionalFormatting>
  <conditionalFormatting sqref="I206">
    <cfRule type="duplicateValues" dxfId="665" priority="412"/>
    <cfRule type="duplicateValues" dxfId="664" priority="413"/>
    <cfRule type="duplicateValues" dxfId="663" priority="414"/>
  </conditionalFormatting>
  <conditionalFormatting sqref="I208">
    <cfRule type="duplicateValues" dxfId="662" priority="409"/>
    <cfRule type="duplicateValues" dxfId="661" priority="410"/>
    <cfRule type="duplicateValues" dxfId="660" priority="411"/>
  </conditionalFormatting>
  <conditionalFormatting sqref="I209">
    <cfRule type="duplicateValues" dxfId="659" priority="406"/>
    <cfRule type="duplicateValues" dxfId="658" priority="407"/>
    <cfRule type="duplicateValues" dxfId="657" priority="408"/>
  </conditionalFormatting>
  <conditionalFormatting sqref="I211">
    <cfRule type="duplicateValues" dxfId="656" priority="403"/>
    <cfRule type="duplicateValues" dxfId="655" priority="404"/>
    <cfRule type="duplicateValues" dxfId="654" priority="405"/>
  </conditionalFormatting>
  <conditionalFormatting sqref="I212">
    <cfRule type="duplicateValues" dxfId="653" priority="400"/>
    <cfRule type="duplicateValues" dxfId="652" priority="401"/>
    <cfRule type="duplicateValues" dxfId="651" priority="402"/>
  </conditionalFormatting>
  <conditionalFormatting sqref="I213">
    <cfRule type="duplicateValues" dxfId="650" priority="397"/>
    <cfRule type="duplicateValues" dxfId="649" priority="398"/>
    <cfRule type="duplicateValues" dxfId="648" priority="399"/>
  </conditionalFormatting>
  <conditionalFormatting sqref="I215">
    <cfRule type="duplicateValues" dxfId="647" priority="394"/>
    <cfRule type="duplicateValues" dxfId="646" priority="395"/>
    <cfRule type="duplicateValues" dxfId="645" priority="396"/>
  </conditionalFormatting>
  <conditionalFormatting sqref="I217">
    <cfRule type="duplicateValues" dxfId="644" priority="391"/>
    <cfRule type="duplicateValues" dxfId="643" priority="392"/>
    <cfRule type="duplicateValues" dxfId="642" priority="393"/>
  </conditionalFormatting>
  <conditionalFormatting sqref="I222">
    <cfRule type="duplicateValues" dxfId="641" priority="385"/>
    <cfRule type="duplicateValues" dxfId="640" priority="386"/>
    <cfRule type="duplicateValues" dxfId="639" priority="387"/>
  </conditionalFormatting>
  <conditionalFormatting sqref="I223">
    <cfRule type="duplicateValues" dxfId="638" priority="382"/>
    <cfRule type="duplicateValues" dxfId="637" priority="383"/>
    <cfRule type="duplicateValues" dxfId="636" priority="384"/>
  </conditionalFormatting>
  <conditionalFormatting sqref="I225">
    <cfRule type="duplicateValues" dxfId="635" priority="379"/>
    <cfRule type="duplicateValues" dxfId="634" priority="380"/>
    <cfRule type="duplicateValues" dxfId="633" priority="381"/>
  </conditionalFormatting>
  <conditionalFormatting sqref="I226">
    <cfRule type="duplicateValues" dxfId="632" priority="376"/>
    <cfRule type="duplicateValues" dxfId="631" priority="377"/>
    <cfRule type="duplicateValues" dxfId="630" priority="378"/>
  </conditionalFormatting>
  <conditionalFormatting sqref="I227">
    <cfRule type="duplicateValues" dxfId="629" priority="373"/>
    <cfRule type="duplicateValues" dxfId="628" priority="374"/>
    <cfRule type="duplicateValues" dxfId="627" priority="375"/>
  </conditionalFormatting>
  <conditionalFormatting sqref="I230">
    <cfRule type="duplicateValues" dxfId="626" priority="370"/>
    <cfRule type="duplicateValues" dxfId="625" priority="371"/>
    <cfRule type="duplicateValues" dxfId="624" priority="372"/>
  </conditionalFormatting>
  <conditionalFormatting sqref="I232">
    <cfRule type="duplicateValues" dxfId="623" priority="367"/>
    <cfRule type="duplicateValues" dxfId="622" priority="368"/>
    <cfRule type="duplicateValues" dxfId="621" priority="369"/>
  </conditionalFormatting>
  <conditionalFormatting sqref="I234">
    <cfRule type="duplicateValues" dxfId="620" priority="364"/>
    <cfRule type="duplicateValues" dxfId="619" priority="365"/>
    <cfRule type="duplicateValues" dxfId="618" priority="366"/>
  </conditionalFormatting>
  <conditionalFormatting sqref="I235">
    <cfRule type="duplicateValues" dxfId="617" priority="361"/>
    <cfRule type="duplicateValues" dxfId="616" priority="362"/>
    <cfRule type="duplicateValues" dxfId="615" priority="363"/>
  </conditionalFormatting>
  <conditionalFormatting sqref="I238">
    <cfRule type="duplicateValues" dxfId="614" priority="358"/>
    <cfRule type="duplicateValues" dxfId="613" priority="359"/>
    <cfRule type="duplicateValues" dxfId="612" priority="360"/>
  </conditionalFormatting>
  <conditionalFormatting sqref="I239">
    <cfRule type="duplicateValues" dxfId="611" priority="355"/>
    <cfRule type="duplicateValues" dxfId="610" priority="356"/>
    <cfRule type="duplicateValues" dxfId="609" priority="357"/>
  </conditionalFormatting>
  <conditionalFormatting sqref="I240">
    <cfRule type="duplicateValues" dxfId="608" priority="352"/>
    <cfRule type="duplicateValues" dxfId="607" priority="353"/>
    <cfRule type="duplicateValues" dxfId="606" priority="354"/>
  </conditionalFormatting>
  <conditionalFormatting sqref="I241">
    <cfRule type="duplicateValues" dxfId="605" priority="349"/>
    <cfRule type="duplicateValues" dxfId="604" priority="350"/>
    <cfRule type="duplicateValues" dxfId="603" priority="351"/>
  </conditionalFormatting>
  <conditionalFormatting sqref="I242">
    <cfRule type="duplicateValues" dxfId="602" priority="346"/>
    <cfRule type="duplicateValues" dxfId="601" priority="347"/>
    <cfRule type="duplicateValues" dxfId="600" priority="348"/>
  </conditionalFormatting>
  <conditionalFormatting sqref="I245">
    <cfRule type="duplicateValues" dxfId="599" priority="343"/>
    <cfRule type="duplicateValues" dxfId="598" priority="344"/>
    <cfRule type="duplicateValues" dxfId="597" priority="345"/>
  </conditionalFormatting>
  <conditionalFormatting sqref="I246">
    <cfRule type="duplicateValues" dxfId="596" priority="340"/>
    <cfRule type="duplicateValues" dxfId="595" priority="341"/>
    <cfRule type="duplicateValues" dxfId="594" priority="342"/>
  </conditionalFormatting>
  <conditionalFormatting sqref="I248">
    <cfRule type="duplicateValues" dxfId="593" priority="337"/>
    <cfRule type="duplicateValues" dxfId="592" priority="338"/>
    <cfRule type="duplicateValues" dxfId="591" priority="339"/>
  </conditionalFormatting>
  <conditionalFormatting sqref="I249">
    <cfRule type="duplicateValues" dxfId="590" priority="334"/>
    <cfRule type="duplicateValues" dxfId="589" priority="335"/>
    <cfRule type="duplicateValues" dxfId="588" priority="336"/>
  </conditionalFormatting>
  <conditionalFormatting sqref="I250">
    <cfRule type="duplicateValues" dxfId="587" priority="331"/>
    <cfRule type="duplicateValues" dxfId="586" priority="332"/>
    <cfRule type="duplicateValues" dxfId="585" priority="333"/>
  </conditionalFormatting>
  <conditionalFormatting sqref="I251">
    <cfRule type="duplicateValues" dxfId="584" priority="328"/>
    <cfRule type="duplicateValues" dxfId="583" priority="329"/>
    <cfRule type="duplicateValues" dxfId="582" priority="330"/>
  </conditionalFormatting>
  <conditionalFormatting sqref="I252">
    <cfRule type="duplicateValues" dxfId="581" priority="325"/>
    <cfRule type="duplicateValues" dxfId="580" priority="326"/>
    <cfRule type="duplicateValues" dxfId="579" priority="327"/>
  </conditionalFormatting>
  <conditionalFormatting sqref="I255">
    <cfRule type="duplicateValues" dxfId="578" priority="322"/>
    <cfRule type="duplicateValues" dxfId="577" priority="323"/>
    <cfRule type="duplicateValues" dxfId="576" priority="324"/>
  </conditionalFormatting>
  <conditionalFormatting sqref="I257">
    <cfRule type="duplicateValues" dxfId="575" priority="319"/>
    <cfRule type="duplicateValues" dxfId="574" priority="320"/>
    <cfRule type="duplicateValues" dxfId="573" priority="321"/>
  </conditionalFormatting>
  <conditionalFormatting sqref="I258">
    <cfRule type="duplicateValues" dxfId="572" priority="316"/>
    <cfRule type="duplicateValues" dxfId="571" priority="317"/>
    <cfRule type="duplicateValues" dxfId="570" priority="318"/>
  </conditionalFormatting>
  <conditionalFormatting sqref="I259">
    <cfRule type="duplicateValues" dxfId="569" priority="313"/>
    <cfRule type="duplicateValues" dxfId="568" priority="314"/>
    <cfRule type="duplicateValues" dxfId="567" priority="315"/>
  </conditionalFormatting>
  <conditionalFormatting sqref="I262">
    <cfRule type="duplicateValues" dxfId="566" priority="310"/>
    <cfRule type="duplicateValues" dxfId="565" priority="311"/>
    <cfRule type="duplicateValues" dxfId="564" priority="312"/>
  </conditionalFormatting>
  <conditionalFormatting sqref="I263">
    <cfRule type="duplicateValues" dxfId="563" priority="307"/>
    <cfRule type="duplicateValues" dxfId="562" priority="308"/>
    <cfRule type="duplicateValues" dxfId="561" priority="309"/>
  </conditionalFormatting>
  <conditionalFormatting sqref="I264">
    <cfRule type="duplicateValues" dxfId="560" priority="304"/>
    <cfRule type="duplicateValues" dxfId="559" priority="305"/>
    <cfRule type="duplicateValues" dxfId="558" priority="306"/>
  </conditionalFormatting>
  <conditionalFormatting sqref="I266">
    <cfRule type="duplicateValues" dxfId="557" priority="301"/>
    <cfRule type="duplicateValues" dxfId="556" priority="302"/>
    <cfRule type="duplicateValues" dxfId="555" priority="303"/>
  </conditionalFormatting>
  <conditionalFormatting sqref="I267">
    <cfRule type="duplicateValues" dxfId="554" priority="298"/>
    <cfRule type="duplicateValues" dxfId="553" priority="299"/>
    <cfRule type="duplicateValues" dxfId="552" priority="300"/>
  </conditionalFormatting>
  <conditionalFormatting sqref="I268">
    <cfRule type="duplicateValues" dxfId="551" priority="295"/>
    <cfRule type="duplicateValues" dxfId="550" priority="296"/>
    <cfRule type="duplicateValues" dxfId="549" priority="297"/>
  </conditionalFormatting>
  <conditionalFormatting sqref="I272">
    <cfRule type="duplicateValues" dxfId="548" priority="292"/>
    <cfRule type="duplicateValues" dxfId="547" priority="293"/>
    <cfRule type="duplicateValues" dxfId="546" priority="294"/>
  </conditionalFormatting>
  <conditionalFormatting sqref="I273">
    <cfRule type="duplicateValues" dxfId="545" priority="289"/>
    <cfRule type="duplicateValues" dxfId="544" priority="290"/>
    <cfRule type="duplicateValues" dxfId="543" priority="291"/>
  </conditionalFormatting>
  <conditionalFormatting sqref="I274">
    <cfRule type="duplicateValues" dxfId="542" priority="286"/>
    <cfRule type="duplicateValues" dxfId="541" priority="287"/>
    <cfRule type="duplicateValues" dxfId="540" priority="288"/>
  </conditionalFormatting>
  <conditionalFormatting sqref="I276">
    <cfRule type="duplicateValues" dxfId="539" priority="283"/>
    <cfRule type="duplicateValues" dxfId="538" priority="284"/>
    <cfRule type="duplicateValues" dxfId="537" priority="285"/>
  </conditionalFormatting>
  <conditionalFormatting sqref="I277">
    <cfRule type="duplicateValues" dxfId="536" priority="280"/>
    <cfRule type="duplicateValues" dxfId="535" priority="281"/>
    <cfRule type="duplicateValues" dxfId="534" priority="282"/>
  </conditionalFormatting>
  <conditionalFormatting sqref="I278">
    <cfRule type="duplicateValues" dxfId="533" priority="277"/>
    <cfRule type="duplicateValues" dxfId="532" priority="278"/>
    <cfRule type="duplicateValues" dxfId="531" priority="279"/>
  </conditionalFormatting>
  <conditionalFormatting sqref="I280">
    <cfRule type="duplicateValues" dxfId="530" priority="274"/>
    <cfRule type="duplicateValues" dxfId="529" priority="275"/>
    <cfRule type="duplicateValues" dxfId="528" priority="276"/>
  </conditionalFormatting>
  <conditionalFormatting sqref="I282">
    <cfRule type="duplicateValues" dxfId="527" priority="271"/>
    <cfRule type="duplicateValues" dxfId="526" priority="272"/>
    <cfRule type="duplicateValues" dxfId="525" priority="273"/>
  </conditionalFormatting>
  <conditionalFormatting sqref="I284">
    <cfRule type="duplicateValues" dxfId="524" priority="268"/>
    <cfRule type="duplicateValues" dxfId="523" priority="269"/>
    <cfRule type="duplicateValues" dxfId="522" priority="270"/>
  </conditionalFormatting>
  <conditionalFormatting sqref="I285:I286">
    <cfRule type="duplicateValues" dxfId="521" priority="265"/>
    <cfRule type="duplicateValues" dxfId="520" priority="266"/>
    <cfRule type="duplicateValues" dxfId="519" priority="267"/>
  </conditionalFormatting>
  <conditionalFormatting sqref="I287">
    <cfRule type="duplicateValues" dxfId="518" priority="262"/>
    <cfRule type="duplicateValues" dxfId="517" priority="263"/>
    <cfRule type="duplicateValues" dxfId="516" priority="264"/>
  </conditionalFormatting>
  <conditionalFormatting sqref="I296">
    <cfRule type="duplicateValues" dxfId="515" priority="259"/>
    <cfRule type="duplicateValues" dxfId="514" priority="260"/>
    <cfRule type="duplicateValues" dxfId="513" priority="261"/>
  </conditionalFormatting>
  <conditionalFormatting sqref="I297">
    <cfRule type="duplicateValues" dxfId="512" priority="256"/>
    <cfRule type="duplicateValues" dxfId="511" priority="257"/>
    <cfRule type="duplicateValues" dxfId="510" priority="258"/>
  </conditionalFormatting>
  <conditionalFormatting sqref="I298">
    <cfRule type="duplicateValues" dxfId="509" priority="253"/>
    <cfRule type="duplicateValues" dxfId="508" priority="254"/>
    <cfRule type="duplicateValues" dxfId="507" priority="255"/>
  </conditionalFormatting>
  <conditionalFormatting sqref="I299">
    <cfRule type="duplicateValues" dxfId="506" priority="250"/>
    <cfRule type="duplicateValues" dxfId="505" priority="251"/>
    <cfRule type="duplicateValues" dxfId="504" priority="252"/>
  </conditionalFormatting>
  <conditionalFormatting sqref="I302">
    <cfRule type="duplicateValues" dxfId="503" priority="247"/>
    <cfRule type="duplicateValues" dxfId="502" priority="248"/>
    <cfRule type="duplicateValues" dxfId="501" priority="249"/>
  </conditionalFormatting>
  <conditionalFormatting sqref="I306">
    <cfRule type="duplicateValues" dxfId="500" priority="244"/>
    <cfRule type="duplicateValues" dxfId="499" priority="245"/>
    <cfRule type="duplicateValues" dxfId="498" priority="246"/>
  </conditionalFormatting>
  <conditionalFormatting sqref="I307">
    <cfRule type="duplicateValues" dxfId="497" priority="241"/>
    <cfRule type="duplicateValues" dxfId="496" priority="242"/>
    <cfRule type="duplicateValues" dxfId="495" priority="243"/>
  </conditionalFormatting>
  <conditionalFormatting sqref="I308">
    <cfRule type="duplicateValues" dxfId="494" priority="238"/>
    <cfRule type="duplicateValues" dxfId="493" priority="239"/>
    <cfRule type="duplicateValues" dxfId="492" priority="240"/>
  </conditionalFormatting>
  <conditionalFormatting sqref="I309">
    <cfRule type="duplicateValues" dxfId="491" priority="235"/>
    <cfRule type="duplicateValues" dxfId="490" priority="236"/>
    <cfRule type="duplicateValues" dxfId="489" priority="237"/>
  </conditionalFormatting>
  <conditionalFormatting sqref="I310">
    <cfRule type="duplicateValues" dxfId="488" priority="232"/>
    <cfRule type="duplicateValues" dxfId="487" priority="233"/>
    <cfRule type="duplicateValues" dxfId="486" priority="234"/>
  </conditionalFormatting>
  <conditionalFormatting sqref="I311">
    <cfRule type="duplicateValues" dxfId="485" priority="229"/>
    <cfRule type="duplicateValues" dxfId="484" priority="230"/>
    <cfRule type="duplicateValues" dxfId="483" priority="231"/>
  </conditionalFormatting>
  <conditionalFormatting sqref="I312">
    <cfRule type="duplicateValues" dxfId="482" priority="226"/>
    <cfRule type="duplicateValues" dxfId="481" priority="227"/>
    <cfRule type="duplicateValues" dxfId="480" priority="228"/>
  </conditionalFormatting>
  <conditionalFormatting sqref="I313">
    <cfRule type="duplicateValues" dxfId="479" priority="223"/>
    <cfRule type="duplicateValues" dxfId="478" priority="224"/>
    <cfRule type="duplicateValues" dxfId="477" priority="225"/>
  </conditionalFormatting>
  <conditionalFormatting sqref="I316">
    <cfRule type="duplicateValues" dxfId="476" priority="220"/>
    <cfRule type="duplicateValues" dxfId="475" priority="221"/>
    <cfRule type="duplicateValues" dxfId="474" priority="222"/>
  </conditionalFormatting>
  <conditionalFormatting sqref="I317">
    <cfRule type="duplicateValues" dxfId="473" priority="217"/>
    <cfRule type="duplicateValues" dxfId="472" priority="218"/>
    <cfRule type="duplicateValues" dxfId="471" priority="219"/>
  </conditionalFormatting>
  <conditionalFormatting sqref="I319">
    <cfRule type="duplicateValues" dxfId="470" priority="214"/>
    <cfRule type="duplicateValues" dxfId="469" priority="215"/>
    <cfRule type="duplicateValues" dxfId="468" priority="216"/>
  </conditionalFormatting>
  <conditionalFormatting sqref="I325">
    <cfRule type="duplicateValues" dxfId="467" priority="211"/>
    <cfRule type="duplicateValues" dxfId="466" priority="212"/>
    <cfRule type="duplicateValues" dxfId="465" priority="213"/>
  </conditionalFormatting>
  <conditionalFormatting sqref="I327">
    <cfRule type="duplicateValues" dxfId="464" priority="208"/>
    <cfRule type="duplicateValues" dxfId="463" priority="209"/>
    <cfRule type="duplicateValues" dxfId="462" priority="210"/>
  </conditionalFormatting>
  <conditionalFormatting sqref="I329">
    <cfRule type="duplicateValues" dxfId="461" priority="205"/>
    <cfRule type="duplicateValues" dxfId="460" priority="206"/>
    <cfRule type="duplicateValues" dxfId="459" priority="207"/>
  </conditionalFormatting>
  <conditionalFormatting sqref="I330">
    <cfRule type="duplicateValues" dxfId="458" priority="202"/>
    <cfRule type="duplicateValues" dxfId="457" priority="203"/>
    <cfRule type="duplicateValues" dxfId="456" priority="204"/>
  </conditionalFormatting>
  <conditionalFormatting sqref="I331">
    <cfRule type="duplicateValues" dxfId="455" priority="199"/>
    <cfRule type="duplicateValues" dxfId="454" priority="200"/>
    <cfRule type="duplicateValues" dxfId="453" priority="201"/>
  </conditionalFormatting>
  <conditionalFormatting sqref="I334">
    <cfRule type="duplicateValues" dxfId="452" priority="196"/>
    <cfRule type="duplicateValues" dxfId="451" priority="197"/>
    <cfRule type="duplicateValues" dxfId="450" priority="198"/>
  </conditionalFormatting>
  <conditionalFormatting sqref="I335">
    <cfRule type="duplicateValues" dxfId="449" priority="193"/>
    <cfRule type="duplicateValues" dxfId="448" priority="194"/>
    <cfRule type="duplicateValues" dxfId="447" priority="195"/>
  </conditionalFormatting>
  <conditionalFormatting sqref="I339">
    <cfRule type="duplicateValues" dxfId="446" priority="187"/>
    <cfRule type="duplicateValues" dxfId="445" priority="188"/>
    <cfRule type="duplicateValues" dxfId="444" priority="189"/>
  </conditionalFormatting>
  <conditionalFormatting sqref="I343">
    <cfRule type="duplicateValues" dxfId="443" priority="184"/>
    <cfRule type="duplicateValues" dxfId="442" priority="185"/>
    <cfRule type="duplicateValues" dxfId="441" priority="186"/>
  </conditionalFormatting>
  <conditionalFormatting sqref="I345">
    <cfRule type="duplicateValues" dxfId="440" priority="181"/>
    <cfRule type="duplicateValues" dxfId="439" priority="182"/>
    <cfRule type="duplicateValues" dxfId="438" priority="183"/>
  </conditionalFormatting>
  <conditionalFormatting sqref="I346">
    <cfRule type="duplicateValues" dxfId="437" priority="178"/>
    <cfRule type="duplicateValues" dxfId="436" priority="179"/>
    <cfRule type="duplicateValues" dxfId="435" priority="180"/>
  </conditionalFormatting>
  <conditionalFormatting sqref="I347">
    <cfRule type="duplicateValues" dxfId="434" priority="175"/>
    <cfRule type="duplicateValues" dxfId="433" priority="176"/>
    <cfRule type="duplicateValues" dxfId="432" priority="177"/>
  </conditionalFormatting>
  <conditionalFormatting sqref="I350">
    <cfRule type="duplicateValues" dxfId="431" priority="172"/>
    <cfRule type="duplicateValues" dxfId="430" priority="173"/>
    <cfRule type="duplicateValues" dxfId="429" priority="174"/>
  </conditionalFormatting>
  <conditionalFormatting sqref="I351">
    <cfRule type="duplicateValues" dxfId="428" priority="169"/>
    <cfRule type="duplicateValues" dxfId="427" priority="170"/>
    <cfRule type="duplicateValues" dxfId="426" priority="171"/>
  </conditionalFormatting>
  <conditionalFormatting sqref="I352">
    <cfRule type="duplicateValues" dxfId="425" priority="166"/>
    <cfRule type="duplicateValues" dxfId="424" priority="167"/>
    <cfRule type="duplicateValues" dxfId="423" priority="168"/>
  </conditionalFormatting>
  <conditionalFormatting sqref="I353">
    <cfRule type="duplicateValues" dxfId="422" priority="163"/>
    <cfRule type="duplicateValues" dxfId="421" priority="164"/>
    <cfRule type="duplicateValues" dxfId="420" priority="165"/>
  </conditionalFormatting>
  <conditionalFormatting sqref="I354">
    <cfRule type="duplicateValues" dxfId="419" priority="160"/>
    <cfRule type="duplicateValues" dxfId="418" priority="161"/>
    <cfRule type="duplicateValues" dxfId="417" priority="162"/>
  </conditionalFormatting>
  <conditionalFormatting sqref="I355">
    <cfRule type="duplicateValues" dxfId="416" priority="157"/>
    <cfRule type="duplicateValues" dxfId="415" priority="158"/>
    <cfRule type="duplicateValues" dxfId="414" priority="159"/>
  </conditionalFormatting>
  <conditionalFormatting sqref="I356">
    <cfRule type="duplicateValues" dxfId="413" priority="154"/>
    <cfRule type="duplicateValues" dxfId="412" priority="155"/>
    <cfRule type="duplicateValues" dxfId="411" priority="156"/>
  </conditionalFormatting>
  <conditionalFormatting sqref="I357">
    <cfRule type="duplicateValues" dxfId="410" priority="151"/>
    <cfRule type="duplicateValues" dxfId="409" priority="152"/>
    <cfRule type="duplicateValues" dxfId="408" priority="153"/>
  </conditionalFormatting>
  <conditionalFormatting sqref="I358">
    <cfRule type="duplicateValues" dxfId="407" priority="148"/>
    <cfRule type="duplicateValues" dxfId="406" priority="149"/>
    <cfRule type="duplicateValues" dxfId="405" priority="150"/>
  </conditionalFormatting>
  <conditionalFormatting sqref="I359">
    <cfRule type="duplicateValues" dxfId="404" priority="145"/>
    <cfRule type="duplicateValues" dxfId="403" priority="146"/>
    <cfRule type="duplicateValues" dxfId="402" priority="147"/>
  </conditionalFormatting>
  <conditionalFormatting sqref="I360">
    <cfRule type="duplicateValues" dxfId="401" priority="142"/>
    <cfRule type="duplicateValues" dxfId="400" priority="143"/>
    <cfRule type="duplicateValues" dxfId="399" priority="144"/>
  </conditionalFormatting>
  <conditionalFormatting sqref="I362">
    <cfRule type="duplicateValues" dxfId="398" priority="139"/>
    <cfRule type="duplicateValues" dxfId="397" priority="140"/>
    <cfRule type="duplicateValues" dxfId="396" priority="141"/>
  </conditionalFormatting>
  <conditionalFormatting sqref="I364">
    <cfRule type="duplicateValues" dxfId="395" priority="136"/>
    <cfRule type="duplicateValues" dxfId="394" priority="137"/>
    <cfRule type="duplicateValues" dxfId="393" priority="138"/>
  </conditionalFormatting>
  <conditionalFormatting sqref="I365">
    <cfRule type="duplicateValues" dxfId="392" priority="133"/>
    <cfRule type="duplicateValues" dxfId="391" priority="134"/>
    <cfRule type="duplicateValues" dxfId="390" priority="135"/>
  </conditionalFormatting>
  <conditionalFormatting sqref="I366">
    <cfRule type="duplicateValues" dxfId="389" priority="130"/>
    <cfRule type="duplicateValues" dxfId="388" priority="131"/>
    <cfRule type="duplicateValues" dxfId="387" priority="132"/>
  </conditionalFormatting>
  <conditionalFormatting sqref="I367">
    <cfRule type="duplicateValues" dxfId="386" priority="127"/>
    <cfRule type="duplicateValues" dxfId="385" priority="128"/>
    <cfRule type="duplicateValues" dxfId="384" priority="129"/>
  </conditionalFormatting>
  <conditionalFormatting sqref="I368">
    <cfRule type="duplicateValues" dxfId="383" priority="124"/>
    <cfRule type="duplicateValues" dxfId="382" priority="125"/>
    <cfRule type="duplicateValues" dxfId="381" priority="126"/>
  </conditionalFormatting>
  <conditionalFormatting sqref="I369">
    <cfRule type="duplicateValues" dxfId="380" priority="121"/>
    <cfRule type="duplicateValues" dxfId="379" priority="122"/>
    <cfRule type="duplicateValues" dxfId="378" priority="123"/>
  </conditionalFormatting>
  <conditionalFormatting sqref="I372">
    <cfRule type="duplicateValues" dxfId="377" priority="118"/>
    <cfRule type="duplicateValues" dxfId="376" priority="119"/>
    <cfRule type="duplicateValues" dxfId="375" priority="120"/>
  </conditionalFormatting>
  <conditionalFormatting sqref="I373">
    <cfRule type="duplicateValues" dxfId="374" priority="115"/>
    <cfRule type="duplicateValues" dxfId="373" priority="116"/>
    <cfRule type="duplicateValues" dxfId="372" priority="117"/>
  </conditionalFormatting>
  <conditionalFormatting sqref="I374">
    <cfRule type="duplicateValues" dxfId="371" priority="112"/>
    <cfRule type="duplicateValues" dxfId="370" priority="113"/>
    <cfRule type="duplicateValues" dxfId="369" priority="114"/>
  </conditionalFormatting>
  <conditionalFormatting sqref="I375">
    <cfRule type="duplicateValues" dxfId="368" priority="109"/>
    <cfRule type="duplicateValues" dxfId="367" priority="110"/>
    <cfRule type="duplicateValues" dxfId="366" priority="111"/>
  </conditionalFormatting>
  <conditionalFormatting sqref="I376">
    <cfRule type="duplicateValues" dxfId="365" priority="106"/>
    <cfRule type="duplicateValues" dxfId="364" priority="107"/>
    <cfRule type="duplicateValues" dxfId="363" priority="108"/>
  </conditionalFormatting>
  <conditionalFormatting sqref="I377">
    <cfRule type="duplicateValues" dxfId="362" priority="103"/>
    <cfRule type="duplicateValues" dxfId="361" priority="104"/>
    <cfRule type="duplicateValues" dxfId="360" priority="105"/>
  </conditionalFormatting>
  <conditionalFormatting sqref="I378">
    <cfRule type="duplicateValues" dxfId="359" priority="100"/>
    <cfRule type="duplicateValues" dxfId="358" priority="101"/>
    <cfRule type="duplicateValues" dxfId="357" priority="102"/>
  </conditionalFormatting>
  <conditionalFormatting sqref="I379">
    <cfRule type="duplicateValues" dxfId="356" priority="97"/>
    <cfRule type="duplicateValues" dxfId="355" priority="98"/>
    <cfRule type="duplicateValues" dxfId="354" priority="99"/>
  </conditionalFormatting>
  <conditionalFormatting sqref="I380">
    <cfRule type="duplicateValues" dxfId="353" priority="94"/>
    <cfRule type="duplicateValues" dxfId="352" priority="95"/>
    <cfRule type="duplicateValues" dxfId="351" priority="96"/>
  </conditionalFormatting>
  <conditionalFormatting sqref="I382">
    <cfRule type="duplicateValues" dxfId="350" priority="91"/>
    <cfRule type="duplicateValues" dxfId="349" priority="92"/>
    <cfRule type="duplicateValues" dxfId="348" priority="93"/>
  </conditionalFormatting>
  <conditionalFormatting sqref="I384">
    <cfRule type="duplicateValues" dxfId="347" priority="88"/>
    <cfRule type="duplicateValues" dxfId="346" priority="89"/>
    <cfRule type="duplicateValues" dxfId="345" priority="90"/>
  </conditionalFormatting>
  <conditionalFormatting sqref="I385">
    <cfRule type="duplicateValues" dxfId="344" priority="85"/>
    <cfRule type="duplicateValues" dxfId="343" priority="86"/>
    <cfRule type="duplicateValues" dxfId="342" priority="87"/>
  </conditionalFormatting>
  <conditionalFormatting sqref="I386">
    <cfRule type="duplicateValues" dxfId="341" priority="82"/>
    <cfRule type="duplicateValues" dxfId="340" priority="83"/>
    <cfRule type="duplicateValues" dxfId="339" priority="84"/>
  </conditionalFormatting>
  <conditionalFormatting sqref="I387">
    <cfRule type="duplicateValues" dxfId="338" priority="79"/>
    <cfRule type="duplicateValues" dxfId="337" priority="80"/>
    <cfRule type="duplicateValues" dxfId="336" priority="81"/>
  </conditionalFormatting>
  <conditionalFormatting sqref="I388">
    <cfRule type="duplicateValues" dxfId="335" priority="76"/>
    <cfRule type="duplicateValues" dxfId="334" priority="77"/>
    <cfRule type="duplicateValues" dxfId="333" priority="78"/>
  </conditionalFormatting>
  <conditionalFormatting sqref="I389">
    <cfRule type="duplicateValues" dxfId="332" priority="73"/>
    <cfRule type="duplicateValues" dxfId="331" priority="74"/>
    <cfRule type="duplicateValues" dxfId="330" priority="75"/>
  </conditionalFormatting>
  <conditionalFormatting sqref="I391">
    <cfRule type="duplicateValues" dxfId="329" priority="70"/>
    <cfRule type="duplicateValues" dxfId="328" priority="71"/>
    <cfRule type="duplicateValues" dxfId="327" priority="72"/>
  </conditionalFormatting>
  <conditionalFormatting sqref="I392">
    <cfRule type="duplicateValues" dxfId="326" priority="67"/>
    <cfRule type="duplicateValues" dxfId="325" priority="68"/>
    <cfRule type="duplicateValues" dxfId="324" priority="69"/>
  </conditionalFormatting>
  <conditionalFormatting sqref="I394">
    <cfRule type="duplicateValues" dxfId="323" priority="64"/>
    <cfRule type="duplicateValues" dxfId="322" priority="65"/>
    <cfRule type="duplicateValues" dxfId="321" priority="66"/>
  </conditionalFormatting>
  <conditionalFormatting sqref="I395">
    <cfRule type="duplicateValues" dxfId="320" priority="61"/>
    <cfRule type="duplicateValues" dxfId="319" priority="62"/>
    <cfRule type="duplicateValues" dxfId="318" priority="63"/>
  </conditionalFormatting>
  <conditionalFormatting sqref="I396">
    <cfRule type="duplicateValues" dxfId="317" priority="58"/>
    <cfRule type="duplicateValues" dxfId="316" priority="59"/>
    <cfRule type="duplicateValues" dxfId="315" priority="60"/>
  </conditionalFormatting>
  <conditionalFormatting sqref="I397">
    <cfRule type="duplicateValues" dxfId="314" priority="55"/>
    <cfRule type="duplicateValues" dxfId="313" priority="56"/>
    <cfRule type="duplicateValues" dxfId="312" priority="57"/>
  </conditionalFormatting>
  <conditionalFormatting sqref="I398">
    <cfRule type="duplicateValues" dxfId="311" priority="52"/>
    <cfRule type="duplicateValues" dxfId="310" priority="53"/>
    <cfRule type="duplicateValues" dxfId="309" priority="54"/>
  </conditionalFormatting>
  <conditionalFormatting sqref="I399">
    <cfRule type="duplicateValues" dxfId="308" priority="49"/>
    <cfRule type="duplicateValues" dxfId="307" priority="50"/>
    <cfRule type="duplicateValues" dxfId="306" priority="51"/>
  </conditionalFormatting>
  <conditionalFormatting sqref="I400">
    <cfRule type="duplicateValues" dxfId="305" priority="46"/>
    <cfRule type="duplicateValues" dxfId="304" priority="47"/>
    <cfRule type="duplicateValues" dxfId="303" priority="48"/>
  </conditionalFormatting>
  <conditionalFormatting sqref="I401">
    <cfRule type="duplicateValues" dxfId="302" priority="43"/>
    <cfRule type="duplicateValues" dxfId="301" priority="44"/>
    <cfRule type="duplicateValues" dxfId="300" priority="45"/>
  </conditionalFormatting>
  <conditionalFormatting sqref="I402">
    <cfRule type="duplicateValues" dxfId="299" priority="40"/>
    <cfRule type="duplicateValues" dxfId="298" priority="41"/>
    <cfRule type="duplicateValues" dxfId="297" priority="42"/>
  </conditionalFormatting>
  <conditionalFormatting sqref="I403">
    <cfRule type="duplicateValues" dxfId="296" priority="37"/>
    <cfRule type="duplicateValues" dxfId="295" priority="38"/>
    <cfRule type="duplicateValues" dxfId="294" priority="39"/>
  </conditionalFormatting>
  <conditionalFormatting sqref="I404">
    <cfRule type="duplicateValues" dxfId="293" priority="34"/>
    <cfRule type="duplicateValues" dxfId="292" priority="35"/>
    <cfRule type="duplicateValues" dxfId="291" priority="36"/>
  </conditionalFormatting>
  <conditionalFormatting sqref="I406">
    <cfRule type="duplicateValues" dxfId="290" priority="31"/>
    <cfRule type="duplicateValues" dxfId="289" priority="32"/>
    <cfRule type="duplicateValues" dxfId="288" priority="33"/>
  </conditionalFormatting>
  <conditionalFormatting sqref="I407">
    <cfRule type="duplicateValues" dxfId="287" priority="28"/>
    <cfRule type="duplicateValues" dxfId="286" priority="29"/>
    <cfRule type="duplicateValues" dxfId="285" priority="30"/>
  </conditionalFormatting>
  <conditionalFormatting sqref="I408">
    <cfRule type="duplicateValues" dxfId="284" priority="25"/>
    <cfRule type="duplicateValues" dxfId="283" priority="26"/>
    <cfRule type="duplicateValues" dxfId="282" priority="27"/>
  </conditionalFormatting>
  <conditionalFormatting sqref="I409">
    <cfRule type="duplicateValues" dxfId="281" priority="22"/>
    <cfRule type="duplicateValues" dxfId="280" priority="23"/>
    <cfRule type="duplicateValues" dxfId="279" priority="24"/>
  </conditionalFormatting>
  <conditionalFormatting sqref="I410">
    <cfRule type="duplicateValues" dxfId="278" priority="19"/>
    <cfRule type="duplicateValues" dxfId="277" priority="20"/>
    <cfRule type="duplicateValues" dxfId="276" priority="21"/>
  </conditionalFormatting>
  <conditionalFormatting sqref="I411">
    <cfRule type="duplicateValues" dxfId="275" priority="16"/>
    <cfRule type="duplicateValues" dxfId="274" priority="17"/>
    <cfRule type="duplicateValues" dxfId="273" priority="18"/>
  </conditionalFormatting>
  <conditionalFormatting sqref="I412">
    <cfRule type="duplicateValues" dxfId="272" priority="13"/>
    <cfRule type="duplicateValues" dxfId="271" priority="14"/>
    <cfRule type="duplicateValues" dxfId="270" priority="15"/>
  </conditionalFormatting>
  <conditionalFormatting sqref="I413">
    <cfRule type="duplicateValues" dxfId="269" priority="10"/>
    <cfRule type="duplicateValues" dxfId="268" priority="11"/>
    <cfRule type="duplicateValues" dxfId="267" priority="12"/>
  </conditionalFormatting>
  <conditionalFormatting sqref="I414">
    <cfRule type="duplicateValues" dxfId="266" priority="7"/>
    <cfRule type="duplicateValues" dxfId="265" priority="8"/>
    <cfRule type="duplicateValues" dxfId="264" priority="9"/>
  </conditionalFormatting>
  <conditionalFormatting sqref="I415">
    <cfRule type="duplicateValues" dxfId="263" priority="4"/>
    <cfRule type="duplicateValues" dxfId="262" priority="5"/>
    <cfRule type="duplicateValues" dxfId="261" priority="6"/>
  </conditionalFormatting>
  <conditionalFormatting sqref="I416">
    <cfRule type="duplicateValues" dxfId="260" priority="1"/>
    <cfRule type="duplicateValues" dxfId="259" priority="2"/>
    <cfRule type="duplicateValues" dxfId="258" priority="3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2B3D-6B59-4332-9479-A9159F45B6DC}">
  <dimension ref="B1:F57"/>
  <sheetViews>
    <sheetView topLeftCell="A6" workbookViewId="0">
      <selection activeCell="G19" sqref="G19"/>
    </sheetView>
  </sheetViews>
  <sheetFormatPr defaultColWidth="8.85546875" defaultRowHeight="15" x14ac:dyDescent="0.25"/>
  <cols>
    <col min="2" max="2" width="18" bestFit="1" customWidth="1"/>
    <col min="3" max="3" width="14.85546875" bestFit="1" customWidth="1"/>
    <col min="4" max="4" width="12.28515625" bestFit="1" customWidth="1"/>
  </cols>
  <sheetData>
    <row r="1" spans="2:3" x14ac:dyDescent="0.25">
      <c r="C1" s="4">
        <f ca="1">TODAY()</f>
        <v>46301</v>
      </c>
    </row>
    <row r="2" spans="2:3" x14ac:dyDescent="0.25">
      <c r="B2" t="s">
        <v>11</v>
      </c>
      <c r="C2" s="2" t="e">
        <f>SUM(#REF!)</f>
        <v>#REF!</v>
      </c>
    </row>
    <row r="3" spans="2:3" x14ac:dyDescent="0.25">
      <c r="B3" t="s">
        <v>12</v>
      </c>
      <c r="C3" s="2">
        <f>COUNT(#REF!)</f>
        <v>0</v>
      </c>
    </row>
    <row r="4" spans="2:3" x14ac:dyDescent="0.25">
      <c r="B4" t="s">
        <v>13</v>
      </c>
      <c r="C4" s="2" t="e">
        <f>SUM(#REF!)</f>
        <v>#REF!</v>
      </c>
    </row>
    <row r="5" spans="2:3" x14ac:dyDescent="0.25">
      <c r="B5" t="s">
        <v>14</v>
      </c>
      <c r="C5" s="2" t="e">
        <f>SUM(#REF!)</f>
        <v>#REF!</v>
      </c>
    </row>
    <row r="6" spans="2:3" x14ac:dyDescent="0.25">
      <c r="B6" t="s">
        <v>15</v>
      </c>
      <c r="C6" s="2" t="e">
        <f>SUM(#REF!)</f>
        <v>#REF!</v>
      </c>
    </row>
    <row r="18" spans="2:6" ht="45.75" thickBot="1" x14ac:dyDescent="0.3">
      <c r="B18" s="5" t="s">
        <v>10</v>
      </c>
      <c r="C18" s="5" t="s">
        <v>13</v>
      </c>
      <c r="D18" s="5" t="s">
        <v>16</v>
      </c>
      <c r="E18" s="9" t="s">
        <v>17</v>
      </c>
    </row>
    <row r="19" spans="2:6" x14ac:dyDescent="0.25">
      <c r="B19" s="6">
        <v>101</v>
      </c>
      <c r="C19" s="8" t="e">
        <f>#REF!</f>
        <v>#REF!</v>
      </c>
      <c r="D19" s="8" t="e">
        <f>#REF!</f>
        <v>#REF!</v>
      </c>
      <c r="E19" s="10" t="e">
        <f>C19/D19</f>
        <v>#REF!</v>
      </c>
      <c r="F19" t="e">
        <f>IF(E19&gt;99%,"✔","☹")</f>
        <v>#REF!</v>
      </c>
    </row>
    <row r="20" spans="2:6" x14ac:dyDescent="0.25">
      <c r="B20" s="7">
        <v>102</v>
      </c>
      <c r="C20" s="8" t="e">
        <f>#REF!</f>
        <v>#REF!</v>
      </c>
      <c r="D20" s="8" t="e">
        <f>#REF!</f>
        <v>#REF!</v>
      </c>
      <c r="E20" s="10" t="e">
        <f t="shared" ref="E20:E57" si="0">C20/D20</f>
        <v>#REF!</v>
      </c>
      <c r="F20" t="e">
        <f t="shared" ref="F20:F35" si="1">IF(E20&gt;99%,"✔","☹")</f>
        <v>#REF!</v>
      </c>
    </row>
    <row r="21" spans="2:6" x14ac:dyDescent="0.25">
      <c r="B21" s="6">
        <v>103</v>
      </c>
      <c r="C21" s="8" t="e">
        <f>#REF!</f>
        <v>#REF!</v>
      </c>
      <c r="D21" s="8" t="e">
        <f>#REF!</f>
        <v>#REF!</v>
      </c>
      <c r="E21" s="10" t="e">
        <f t="shared" si="0"/>
        <v>#REF!</v>
      </c>
      <c r="F21" t="e">
        <f t="shared" si="1"/>
        <v>#REF!</v>
      </c>
    </row>
    <row r="22" spans="2:6" x14ac:dyDescent="0.25">
      <c r="B22" s="7">
        <v>104</v>
      </c>
      <c r="C22" s="8" t="e">
        <f>#REF!</f>
        <v>#REF!</v>
      </c>
      <c r="D22" s="8" t="e">
        <f>#REF!</f>
        <v>#REF!</v>
      </c>
      <c r="E22" s="10" t="e">
        <f t="shared" si="0"/>
        <v>#REF!</v>
      </c>
      <c r="F22" t="e">
        <f t="shared" si="1"/>
        <v>#REF!</v>
      </c>
    </row>
    <row r="23" spans="2:6" x14ac:dyDescent="0.25">
      <c r="B23" s="6">
        <v>105</v>
      </c>
      <c r="C23" s="8" t="e">
        <f>#REF!</f>
        <v>#REF!</v>
      </c>
      <c r="D23" s="8" t="e">
        <f>#REF!</f>
        <v>#REF!</v>
      </c>
      <c r="E23" s="10" t="e">
        <f t="shared" si="0"/>
        <v>#REF!</v>
      </c>
      <c r="F23" t="e">
        <f t="shared" si="1"/>
        <v>#REF!</v>
      </c>
    </row>
    <row r="24" spans="2:6" x14ac:dyDescent="0.25">
      <c r="B24" s="7">
        <v>106</v>
      </c>
      <c r="C24" s="8" t="e">
        <f>#REF!</f>
        <v>#REF!</v>
      </c>
      <c r="D24" s="8" t="e">
        <f>#REF!</f>
        <v>#REF!</v>
      </c>
      <c r="E24" s="10" t="e">
        <f t="shared" si="0"/>
        <v>#REF!</v>
      </c>
      <c r="F24" t="e">
        <f t="shared" si="1"/>
        <v>#REF!</v>
      </c>
    </row>
    <row r="25" spans="2:6" x14ac:dyDescent="0.25">
      <c r="B25" s="6">
        <v>107</v>
      </c>
      <c r="C25" s="8" t="e">
        <f>#REF!</f>
        <v>#REF!</v>
      </c>
      <c r="D25" s="8" t="e">
        <f>#REF!</f>
        <v>#REF!</v>
      </c>
      <c r="E25" s="10" t="e">
        <f t="shared" si="0"/>
        <v>#REF!</v>
      </c>
      <c r="F25" t="e">
        <f t="shared" si="1"/>
        <v>#REF!</v>
      </c>
    </row>
    <row r="26" spans="2:6" x14ac:dyDescent="0.25">
      <c r="B26" s="7">
        <v>108</v>
      </c>
      <c r="C26" s="8" t="e">
        <f>#REF!</f>
        <v>#REF!</v>
      </c>
      <c r="D26" s="8" t="e">
        <f>#REF!</f>
        <v>#REF!</v>
      </c>
      <c r="E26" s="10" t="e">
        <f t="shared" si="0"/>
        <v>#REF!</v>
      </c>
      <c r="F26" t="e">
        <f t="shared" si="1"/>
        <v>#REF!</v>
      </c>
    </row>
    <row r="27" spans="2:6" x14ac:dyDescent="0.25">
      <c r="B27" s="6">
        <v>113</v>
      </c>
      <c r="C27" s="8" t="e">
        <f>#REF!</f>
        <v>#REF!</v>
      </c>
      <c r="D27" s="8" t="e">
        <f>#REF!</f>
        <v>#REF!</v>
      </c>
      <c r="E27" s="10" t="e">
        <f t="shared" si="0"/>
        <v>#REF!</v>
      </c>
      <c r="F27" t="e">
        <f t="shared" si="1"/>
        <v>#REF!</v>
      </c>
    </row>
    <row r="28" spans="2:6" x14ac:dyDescent="0.25">
      <c r="B28" s="7">
        <v>114</v>
      </c>
      <c r="C28" s="8" t="e">
        <f>#REF!</f>
        <v>#REF!</v>
      </c>
      <c r="D28" s="8" t="e">
        <f>#REF!</f>
        <v>#REF!</v>
      </c>
      <c r="E28" s="10" t="e">
        <f t="shared" si="0"/>
        <v>#REF!</v>
      </c>
      <c r="F28" t="e">
        <f t="shared" si="1"/>
        <v>#REF!</v>
      </c>
    </row>
    <row r="29" spans="2:6" x14ac:dyDescent="0.25">
      <c r="B29" s="6">
        <v>115</v>
      </c>
      <c r="C29" s="8" t="e">
        <f>#REF!</f>
        <v>#REF!</v>
      </c>
      <c r="D29" s="8" t="e">
        <f>#REF!</f>
        <v>#REF!</v>
      </c>
      <c r="E29" s="10" t="e">
        <f t="shared" si="0"/>
        <v>#REF!</v>
      </c>
      <c r="F29" t="e">
        <f t="shared" si="1"/>
        <v>#REF!</v>
      </c>
    </row>
    <row r="30" spans="2:6" x14ac:dyDescent="0.25">
      <c r="B30" s="7">
        <v>116</v>
      </c>
      <c r="C30" s="8" t="e">
        <f>#REF!</f>
        <v>#REF!</v>
      </c>
      <c r="D30" s="8" t="e">
        <f>#REF!</f>
        <v>#REF!</v>
      </c>
      <c r="E30" s="10" t="e">
        <f t="shared" si="0"/>
        <v>#REF!</v>
      </c>
      <c r="F30" t="e">
        <f t="shared" si="1"/>
        <v>#REF!</v>
      </c>
    </row>
    <row r="31" spans="2:6" x14ac:dyDescent="0.25">
      <c r="B31" s="6">
        <v>201</v>
      </c>
      <c r="C31" s="8" t="e">
        <f>#REF!</f>
        <v>#REF!</v>
      </c>
      <c r="D31" s="8" t="e">
        <f>#REF!</f>
        <v>#REF!</v>
      </c>
      <c r="E31" s="10" t="e">
        <f t="shared" si="0"/>
        <v>#REF!</v>
      </c>
      <c r="F31" t="e">
        <f t="shared" si="1"/>
        <v>#REF!</v>
      </c>
    </row>
    <row r="32" spans="2:6" x14ac:dyDescent="0.25">
      <c r="B32" s="7">
        <v>202</v>
      </c>
      <c r="C32" s="8" t="e">
        <f>#REF!</f>
        <v>#REF!</v>
      </c>
      <c r="D32" s="8" t="e">
        <f>#REF!</f>
        <v>#REF!</v>
      </c>
      <c r="E32" s="10" t="e">
        <f t="shared" si="0"/>
        <v>#REF!</v>
      </c>
      <c r="F32" t="e">
        <f t="shared" si="1"/>
        <v>#REF!</v>
      </c>
    </row>
    <row r="33" spans="2:6" x14ac:dyDescent="0.25">
      <c r="B33" s="6">
        <v>203</v>
      </c>
      <c r="C33" s="8" t="e">
        <f>#REF!</f>
        <v>#REF!</v>
      </c>
      <c r="D33" s="8" t="e">
        <f>#REF!</f>
        <v>#REF!</v>
      </c>
      <c r="E33" s="10" t="e">
        <f t="shared" si="0"/>
        <v>#REF!</v>
      </c>
      <c r="F33" t="e">
        <f t="shared" si="1"/>
        <v>#REF!</v>
      </c>
    </row>
    <row r="34" spans="2:6" x14ac:dyDescent="0.25">
      <c r="B34" s="7">
        <v>204</v>
      </c>
      <c r="C34" s="8" t="e">
        <f>#REF!</f>
        <v>#REF!</v>
      </c>
      <c r="D34" s="8" t="e">
        <f>#REF!</f>
        <v>#REF!</v>
      </c>
      <c r="E34" s="10" t="e">
        <f t="shared" si="0"/>
        <v>#REF!</v>
      </c>
      <c r="F34" t="e">
        <f t="shared" si="1"/>
        <v>#REF!</v>
      </c>
    </row>
    <row r="35" spans="2:6" x14ac:dyDescent="0.25">
      <c r="B35" s="6">
        <v>205</v>
      </c>
      <c r="C35" s="8" t="e">
        <f>#REF!</f>
        <v>#REF!</v>
      </c>
      <c r="D35" s="8" t="e">
        <f>#REF!</f>
        <v>#REF!</v>
      </c>
      <c r="E35" s="10" t="e">
        <f t="shared" si="0"/>
        <v>#REF!</v>
      </c>
      <c r="F35" t="e">
        <f t="shared" si="1"/>
        <v>#REF!</v>
      </c>
    </row>
    <row r="36" spans="2:6" x14ac:dyDescent="0.25">
      <c r="B36" s="7"/>
      <c r="C36" s="8" t="e">
        <f>#REF!</f>
        <v>#REF!</v>
      </c>
      <c r="D36" s="8" t="e">
        <f>#REF!</f>
        <v>#REF!</v>
      </c>
      <c r="E36" s="10" t="e">
        <f t="shared" si="0"/>
        <v>#REF!</v>
      </c>
      <c r="F36" t="e">
        <f t="shared" ref="F36:F57" si="2">IF(E36&gt;99%,"✔","-")</f>
        <v>#REF!</v>
      </c>
    </row>
    <row r="37" spans="2:6" x14ac:dyDescent="0.25">
      <c r="B37" s="6"/>
      <c r="C37" s="8" t="e">
        <f>#REF!</f>
        <v>#REF!</v>
      </c>
      <c r="D37" s="8" t="e">
        <f>#REF!</f>
        <v>#REF!</v>
      </c>
      <c r="E37" s="10" t="e">
        <f t="shared" si="0"/>
        <v>#REF!</v>
      </c>
      <c r="F37" t="e">
        <f t="shared" si="2"/>
        <v>#REF!</v>
      </c>
    </row>
    <row r="38" spans="2:6" x14ac:dyDescent="0.25">
      <c r="B38" s="7"/>
      <c r="C38" s="8" t="e">
        <f>#REF!</f>
        <v>#REF!</v>
      </c>
      <c r="D38" s="8" t="e">
        <f>#REF!</f>
        <v>#REF!</v>
      </c>
      <c r="E38" s="10" t="e">
        <f t="shared" si="0"/>
        <v>#REF!</v>
      </c>
      <c r="F38" t="e">
        <f t="shared" si="2"/>
        <v>#REF!</v>
      </c>
    </row>
    <row r="39" spans="2:6" x14ac:dyDescent="0.25">
      <c r="B39" s="6"/>
      <c r="C39" s="8" t="e">
        <f>#REF!</f>
        <v>#REF!</v>
      </c>
      <c r="D39" s="8" t="e">
        <f>#REF!</f>
        <v>#REF!</v>
      </c>
      <c r="E39" s="10" t="e">
        <f t="shared" si="0"/>
        <v>#REF!</v>
      </c>
      <c r="F39" t="e">
        <f t="shared" si="2"/>
        <v>#REF!</v>
      </c>
    </row>
    <row r="40" spans="2:6" x14ac:dyDescent="0.25">
      <c r="B40" s="7"/>
      <c r="C40" s="8" t="e">
        <f>#REF!</f>
        <v>#REF!</v>
      </c>
      <c r="D40" s="8" t="e">
        <f>#REF!</f>
        <v>#REF!</v>
      </c>
      <c r="E40" s="10" t="e">
        <f t="shared" si="0"/>
        <v>#REF!</v>
      </c>
      <c r="F40" t="e">
        <f t="shared" si="2"/>
        <v>#REF!</v>
      </c>
    </row>
    <row r="41" spans="2:6" x14ac:dyDescent="0.25">
      <c r="B41" s="6"/>
      <c r="C41" s="8" t="e">
        <f>#REF!</f>
        <v>#REF!</v>
      </c>
      <c r="D41" s="8" t="e">
        <f>#REF!</f>
        <v>#REF!</v>
      </c>
      <c r="E41" s="10" t="e">
        <f t="shared" si="0"/>
        <v>#REF!</v>
      </c>
      <c r="F41" t="e">
        <f t="shared" si="2"/>
        <v>#REF!</v>
      </c>
    </row>
    <row r="42" spans="2:6" x14ac:dyDescent="0.25">
      <c r="B42" s="7"/>
      <c r="C42" s="8" t="e">
        <f>#REF!</f>
        <v>#REF!</v>
      </c>
      <c r="D42" s="8" t="e">
        <f>#REF!</f>
        <v>#REF!</v>
      </c>
      <c r="E42" s="10" t="e">
        <f t="shared" si="0"/>
        <v>#REF!</v>
      </c>
      <c r="F42" t="e">
        <f t="shared" si="2"/>
        <v>#REF!</v>
      </c>
    </row>
    <row r="43" spans="2:6" x14ac:dyDescent="0.25">
      <c r="B43" s="6"/>
      <c r="C43" s="8" t="e">
        <f>#REF!</f>
        <v>#REF!</v>
      </c>
      <c r="D43" s="8" t="e">
        <f>#REF!</f>
        <v>#REF!</v>
      </c>
      <c r="E43" s="10" t="e">
        <f t="shared" si="0"/>
        <v>#REF!</v>
      </c>
      <c r="F43" t="e">
        <f t="shared" si="2"/>
        <v>#REF!</v>
      </c>
    </row>
    <row r="44" spans="2:6" x14ac:dyDescent="0.25">
      <c r="B44" s="7"/>
      <c r="C44" s="8" t="e">
        <f>#REF!</f>
        <v>#REF!</v>
      </c>
      <c r="D44" s="8" t="e">
        <f>#REF!</f>
        <v>#REF!</v>
      </c>
      <c r="E44" s="10" t="e">
        <f t="shared" si="0"/>
        <v>#REF!</v>
      </c>
      <c r="F44" t="e">
        <f t="shared" si="2"/>
        <v>#REF!</v>
      </c>
    </row>
    <row r="45" spans="2:6" x14ac:dyDescent="0.25">
      <c r="B45" s="6"/>
      <c r="C45" s="8" t="e">
        <f>#REF!</f>
        <v>#REF!</v>
      </c>
      <c r="D45" s="8" t="e">
        <f>#REF!</f>
        <v>#REF!</v>
      </c>
      <c r="E45" s="10" t="e">
        <f t="shared" si="0"/>
        <v>#REF!</v>
      </c>
      <c r="F45" t="e">
        <f t="shared" si="2"/>
        <v>#REF!</v>
      </c>
    </row>
    <row r="46" spans="2:6" x14ac:dyDescent="0.25">
      <c r="B46" s="7"/>
      <c r="C46" s="8" t="e">
        <f>#REF!</f>
        <v>#REF!</v>
      </c>
      <c r="D46" s="8" t="e">
        <f>#REF!</f>
        <v>#REF!</v>
      </c>
      <c r="E46" s="10" t="e">
        <f t="shared" si="0"/>
        <v>#REF!</v>
      </c>
      <c r="F46" t="e">
        <f t="shared" si="2"/>
        <v>#REF!</v>
      </c>
    </row>
    <row r="47" spans="2:6" x14ac:dyDescent="0.25">
      <c r="B47" s="6"/>
      <c r="C47" s="8" t="e">
        <f>#REF!</f>
        <v>#REF!</v>
      </c>
      <c r="D47" s="8" t="e">
        <f>#REF!</f>
        <v>#REF!</v>
      </c>
      <c r="E47" s="10" t="e">
        <f t="shared" si="0"/>
        <v>#REF!</v>
      </c>
      <c r="F47" t="e">
        <f t="shared" si="2"/>
        <v>#REF!</v>
      </c>
    </row>
    <row r="48" spans="2:6" x14ac:dyDescent="0.25">
      <c r="B48" s="7"/>
      <c r="C48" s="8" t="e">
        <f>#REF!</f>
        <v>#REF!</v>
      </c>
      <c r="D48" s="8" t="e">
        <f>#REF!</f>
        <v>#REF!</v>
      </c>
      <c r="E48" s="10" t="e">
        <f t="shared" si="0"/>
        <v>#REF!</v>
      </c>
      <c r="F48" t="e">
        <f t="shared" si="2"/>
        <v>#REF!</v>
      </c>
    </row>
    <row r="49" spans="2:6" x14ac:dyDescent="0.25">
      <c r="B49" s="6"/>
      <c r="C49" s="8" t="e">
        <f>#REF!</f>
        <v>#REF!</v>
      </c>
      <c r="D49" s="8" t="e">
        <f>#REF!</f>
        <v>#REF!</v>
      </c>
      <c r="E49" s="10" t="e">
        <f t="shared" si="0"/>
        <v>#REF!</v>
      </c>
      <c r="F49" t="e">
        <f t="shared" si="2"/>
        <v>#REF!</v>
      </c>
    </row>
    <row r="50" spans="2:6" x14ac:dyDescent="0.25">
      <c r="B50" s="7"/>
      <c r="C50" s="8" t="e">
        <f>#REF!</f>
        <v>#REF!</v>
      </c>
      <c r="D50" s="8" t="e">
        <f>#REF!</f>
        <v>#REF!</v>
      </c>
      <c r="E50" s="10" t="e">
        <f t="shared" si="0"/>
        <v>#REF!</v>
      </c>
      <c r="F50" t="e">
        <f t="shared" si="2"/>
        <v>#REF!</v>
      </c>
    </row>
    <row r="51" spans="2:6" x14ac:dyDescent="0.25">
      <c r="B51" s="6"/>
      <c r="C51" s="8" t="e">
        <f>#REF!</f>
        <v>#REF!</v>
      </c>
      <c r="D51" s="8" t="e">
        <f>#REF!</f>
        <v>#REF!</v>
      </c>
      <c r="E51" s="10" t="e">
        <f t="shared" si="0"/>
        <v>#REF!</v>
      </c>
      <c r="F51" t="e">
        <f t="shared" si="2"/>
        <v>#REF!</v>
      </c>
    </row>
    <row r="52" spans="2:6" x14ac:dyDescent="0.25">
      <c r="B52" s="7"/>
      <c r="C52" s="8" t="e">
        <f>#REF!</f>
        <v>#REF!</v>
      </c>
      <c r="D52" s="8" t="e">
        <f>#REF!</f>
        <v>#REF!</v>
      </c>
      <c r="E52" s="10" t="e">
        <f t="shared" si="0"/>
        <v>#REF!</v>
      </c>
      <c r="F52" t="e">
        <f t="shared" si="2"/>
        <v>#REF!</v>
      </c>
    </row>
    <row r="53" spans="2:6" x14ac:dyDescent="0.25">
      <c r="B53" s="6"/>
      <c r="C53" s="8" t="e">
        <f>#REF!</f>
        <v>#REF!</v>
      </c>
      <c r="D53" s="8" t="e">
        <f>#REF!</f>
        <v>#REF!</v>
      </c>
      <c r="E53" s="10" t="e">
        <f t="shared" si="0"/>
        <v>#REF!</v>
      </c>
      <c r="F53" t="e">
        <f t="shared" si="2"/>
        <v>#REF!</v>
      </c>
    </row>
    <row r="54" spans="2:6" x14ac:dyDescent="0.25">
      <c r="B54" s="7"/>
      <c r="C54" s="8" t="e">
        <f>#REF!</f>
        <v>#REF!</v>
      </c>
      <c r="D54" s="8" t="e">
        <f>#REF!</f>
        <v>#REF!</v>
      </c>
      <c r="E54" s="10" t="e">
        <f t="shared" si="0"/>
        <v>#REF!</v>
      </c>
      <c r="F54" t="e">
        <f t="shared" si="2"/>
        <v>#REF!</v>
      </c>
    </row>
    <row r="55" spans="2:6" x14ac:dyDescent="0.25">
      <c r="B55" s="6"/>
      <c r="C55" s="8" t="e">
        <f>#REF!</f>
        <v>#REF!</v>
      </c>
      <c r="D55" s="8" t="e">
        <f>#REF!</f>
        <v>#REF!</v>
      </c>
      <c r="E55" s="10" t="e">
        <f t="shared" si="0"/>
        <v>#REF!</v>
      </c>
      <c r="F55" t="e">
        <f t="shared" si="2"/>
        <v>#REF!</v>
      </c>
    </row>
    <row r="56" spans="2:6" x14ac:dyDescent="0.25">
      <c r="B56" s="7"/>
      <c r="C56" s="8" t="e">
        <f>#REF!</f>
        <v>#REF!</v>
      </c>
      <c r="D56" s="8" t="e">
        <f>#REF!</f>
        <v>#REF!</v>
      </c>
      <c r="E56" s="10" t="e">
        <f t="shared" si="0"/>
        <v>#REF!</v>
      </c>
      <c r="F56" t="e">
        <f t="shared" si="2"/>
        <v>#REF!</v>
      </c>
    </row>
    <row r="57" spans="2:6" x14ac:dyDescent="0.25">
      <c r="B57" s="6"/>
      <c r="C57" s="8" t="e">
        <f>#REF!</f>
        <v>#REF!</v>
      </c>
      <c r="D57" s="8" t="e">
        <f>#REF!</f>
        <v>#REF!</v>
      </c>
      <c r="E57" s="10" t="e">
        <f t="shared" si="0"/>
        <v>#REF!</v>
      </c>
      <c r="F57" t="e">
        <f t="shared" si="2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B529-CC51-46FA-99D0-D9E5F582B579}">
  <dimension ref="A1:I28"/>
  <sheetViews>
    <sheetView workbookViewId="0">
      <selection activeCell="A28" sqref="A28:H28"/>
    </sheetView>
  </sheetViews>
  <sheetFormatPr defaultColWidth="8.85546875" defaultRowHeight="15" x14ac:dyDescent="0.25"/>
  <cols>
    <col min="1" max="1" width="45.85546875" customWidth="1"/>
    <col min="2" max="2" width="12.140625" customWidth="1"/>
    <col min="3" max="3" width="16.85546875" customWidth="1"/>
    <col min="4" max="4" width="15" customWidth="1"/>
    <col min="5" max="5" width="15.42578125" customWidth="1"/>
    <col min="6" max="6" width="13.28515625" customWidth="1"/>
    <col min="7" max="7" width="13.85546875" customWidth="1"/>
    <col min="8" max="8" width="13.42578125" customWidth="1"/>
    <col min="9" max="9" width="9.140625" customWidth="1"/>
  </cols>
  <sheetData>
    <row r="1" spans="1:8" x14ac:dyDescent="0.25">
      <c r="A1" s="14" t="s">
        <v>18</v>
      </c>
      <c r="B1" s="15">
        <v>114</v>
      </c>
      <c r="C1" s="16">
        <v>8500000</v>
      </c>
      <c r="D1" s="16">
        <v>0</v>
      </c>
      <c r="E1" s="17">
        <f>SUMIFS(bank!$G:$G,bank!$I:$I,$A1,bank!$J:$J,1)</f>
        <v>0</v>
      </c>
      <c r="F1" s="17">
        <f>SUMIFS(bank!$G:$G,bank!$I:$I,$A1,bank!$J:$J,2)</f>
        <v>0</v>
      </c>
      <c r="G1" s="17" t="e">
        <f>#REF!-#REF!</f>
        <v>#REF!</v>
      </c>
      <c r="H1" s="18" t="e">
        <f>#REF!-#REF!</f>
        <v>#REF!</v>
      </c>
    </row>
    <row r="2" spans="1:8" x14ac:dyDescent="0.25">
      <c r="A2" s="11" t="s">
        <v>74</v>
      </c>
      <c r="B2" s="15">
        <v>108</v>
      </c>
      <c r="C2" s="19">
        <v>0</v>
      </c>
      <c r="D2" s="19">
        <v>8500000</v>
      </c>
      <c r="E2" s="20">
        <f>SUMIFS(bank!$G:$G,bank!$I:$I,$A2,bank!$J:$J,1)</f>
        <v>0</v>
      </c>
      <c r="F2" s="20">
        <f>SUMIFS(bank!$G:$G,bank!$I:$I,$A2,bank!$J:$J,2)</f>
        <v>0</v>
      </c>
      <c r="G2" s="20" t="e">
        <f>#REF!-#REF!</f>
        <v>#REF!</v>
      </c>
      <c r="H2" s="21" t="e">
        <f>#REF!-#REF!</f>
        <v>#REF!</v>
      </c>
    </row>
    <row r="3" spans="1:8" x14ac:dyDescent="0.25">
      <c r="A3" s="14" t="s">
        <v>153</v>
      </c>
      <c r="B3" s="15">
        <v>116</v>
      </c>
      <c r="C3" s="22">
        <v>8500000</v>
      </c>
      <c r="D3" s="22">
        <v>8500000</v>
      </c>
      <c r="E3" s="17">
        <f>SUMIFS(bank!$G:$G,bank!$I:$I,$A3,bank!$J:$J,1)</f>
        <v>0</v>
      </c>
      <c r="F3" s="17">
        <f>SUMIFS(bank!$G:$G,bank!$I:$I,$A3,bank!$J:$J,2)</f>
        <v>0</v>
      </c>
      <c r="G3" s="17" t="e">
        <f>#REF!-#REF!</f>
        <v>#REF!</v>
      </c>
      <c r="H3" s="18" t="e">
        <f>#REF!-#REF!</f>
        <v>#REF!</v>
      </c>
    </row>
    <row r="4" spans="1:8" x14ac:dyDescent="0.25">
      <c r="A4" s="11" t="s">
        <v>81</v>
      </c>
      <c r="B4" s="15">
        <v>114</v>
      </c>
      <c r="C4" s="19">
        <v>0</v>
      </c>
      <c r="D4" s="19">
        <v>8500000</v>
      </c>
      <c r="E4" s="20">
        <f>SUMIFS(bank!$G:$G,bank!$I:$I,$A4,bank!$J:$J,1)</f>
        <v>0</v>
      </c>
      <c r="F4" s="20">
        <f>SUMIFS(bank!$G:$G,bank!$I:$I,$A4,bank!$J:$J,2)</f>
        <v>0</v>
      </c>
      <c r="G4" s="20" t="e">
        <f>#REF!-#REF!</f>
        <v>#REF!</v>
      </c>
      <c r="H4" s="21" t="e">
        <f>#REF!-#REF!</f>
        <v>#REF!</v>
      </c>
    </row>
    <row r="5" spans="1:8" x14ac:dyDescent="0.25">
      <c r="A5" s="14" t="s">
        <v>150</v>
      </c>
      <c r="B5" s="15">
        <v>108</v>
      </c>
      <c r="C5" s="16">
        <v>0</v>
      </c>
      <c r="D5" s="16">
        <v>8500000</v>
      </c>
      <c r="E5" s="17">
        <f>SUMIFS(bank!$G:$G,bank!$I:$I,$A5,bank!$J:$J,1)</f>
        <v>0</v>
      </c>
      <c r="F5" s="17">
        <f>SUMIFS(bank!$G:$G,bank!$I:$I,$A5,bank!$J:$J,2)</f>
        <v>0</v>
      </c>
      <c r="G5" s="17" t="e">
        <f>#REF!-#REF!</f>
        <v>#REF!</v>
      </c>
      <c r="H5" s="18" t="e">
        <f>#REF!-#REF!</f>
        <v>#REF!</v>
      </c>
    </row>
    <row r="6" spans="1:8" x14ac:dyDescent="0.25">
      <c r="A6" s="11" t="s">
        <v>75</v>
      </c>
      <c r="B6" s="15">
        <v>108</v>
      </c>
      <c r="C6" s="19">
        <v>0</v>
      </c>
      <c r="D6" s="19">
        <v>10750000</v>
      </c>
      <c r="E6" s="20">
        <f>SUMIFS(bank!$G:$G,bank!$I:$I,$A6,bank!$J:$J,1)</f>
        <v>0</v>
      </c>
      <c r="F6" s="20">
        <f>SUMIFS(bank!$G:$G,bank!$I:$I,$A6,bank!$J:$J,2)</f>
        <v>0</v>
      </c>
      <c r="G6" s="20" t="e">
        <f>#REF!-#REF!</f>
        <v>#REF!</v>
      </c>
      <c r="H6" s="21" t="e">
        <f>#REF!-#REF!</f>
        <v>#REF!</v>
      </c>
    </row>
    <row r="7" spans="1:8" x14ac:dyDescent="0.25">
      <c r="A7" s="14" t="s">
        <v>58</v>
      </c>
      <c r="B7" s="15">
        <v>116</v>
      </c>
      <c r="C7" s="16">
        <v>8500000</v>
      </c>
      <c r="D7" s="16">
        <v>0</v>
      </c>
      <c r="E7" s="17">
        <f>SUMIFS(bank!$G:$G,bank!$I:$I,$A7,bank!$J:$J,1)</f>
        <v>0</v>
      </c>
      <c r="F7" s="17">
        <f>SUMIFS(bank!$G:$G,bank!$I:$I,$A7,bank!$J:$J,2)</f>
        <v>0</v>
      </c>
      <c r="G7" s="17" t="e">
        <f>#REF!-#REF!</f>
        <v>#REF!</v>
      </c>
      <c r="H7" s="18" t="e">
        <f>#REF!-#REF!</f>
        <v>#REF!</v>
      </c>
    </row>
    <row r="8" spans="1:8" x14ac:dyDescent="0.25">
      <c r="A8" s="11" t="s">
        <v>149</v>
      </c>
      <c r="B8" s="15">
        <v>102</v>
      </c>
      <c r="C8" s="19">
        <v>0</v>
      </c>
      <c r="D8" s="19">
        <v>8500000</v>
      </c>
      <c r="E8" s="20">
        <f>SUMIFS(bank!$G:$G,bank!$I:$I,$A8,bank!$J:$J,1)</f>
        <v>0</v>
      </c>
      <c r="F8" s="20">
        <f>SUMIFS(bank!$G:$G,bank!$I:$I,$A8,bank!$J:$J,2)</f>
        <v>0</v>
      </c>
      <c r="G8" s="20" t="e">
        <f>#REF!-#REF!</f>
        <v>#REF!</v>
      </c>
      <c r="H8" s="21" t="e">
        <f>#REF!-#REF!</f>
        <v>#REF!</v>
      </c>
    </row>
    <row r="9" spans="1:8" x14ac:dyDescent="0.25">
      <c r="A9" s="14" t="s">
        <v>27</v>
      </c>
      <c r="B9" s="15">
        <v>114</v>
      </c>
      <c r="C9" s="16">
        <v>8500000</v>
      </c>
      <c r="D9" s="16">
        <v>0</v>
      </c>
      <c r="E9" s="17">
        <f>SUMIFS(bank!$G:$G,bank!$I:$I,$A9,bank!$J:$J,1)</f>
        <v>0</v>
      </c>
      <c r="F9" s="17">
        <f>SUMIFS(bank!$G:$G,bank!$I:$I,$A9,bank!$J:$J,2)</f>
        <v>0</v>
      </c>
      <c r="G9" s="17" t="e">
        <f>#REF!-#REF!</f>
        <v>#REF!</v>
      </c>
      <c r="H9" s="18" t="e">
        <f>#REF!-#REF!</f>
        <v>#REF!</v>
      </c>
    </row>
    <row r="10" spans="1:8" x14ac:dyDescent="0.25">
      <c r="A10" s="11" t="s">
        <v>151</v>
      </c>
      <c r="B10" s="15">
        <v>115</v>
      </c>
      <c r="C10" s="23">
        <v>8500000</v>
      </c>
      <c r="D10" s="23">
        <v>8500000</v>
      </c>
      <c r="E10" s="20">
        <f>SUMIFS(bank!$G:$G,bank!$I:$I,$A10,bank!$J:$J,1)</f>
        <v>0</v>
      </c>
      <c r="F10" s="20">
        <f>SUMIFS(bank!$G:$G,bank!$I:$I,$A10,bank!$J:$J,2)</f>
        <v>0</v>
      </c>
      <c r="G10" s="20" t="e">
        <f>#REF!-#REF!</f>
        <v>#REF!</v>
      </c>
      <c r="H10" s="21" t="e">
        <f>#REF!-#REF!</f>
        <v>#REF!</v>
      </c>
    </row>
    <row r="11" spans="1:8" x14ac:dyDescent="0.25">
      <c r="A11" s="14" t="s">
        <v>139</v>
      </c>
      <c r="B11" s="15">
        <v>203</v>
      </c>
      <c r="C11" s="16">
        <v>8500000</v>
      </c>
      <c r="D11" s="16">
        <v>0</v>
      </c>
      <c r="E11" s="17">
        <f>SUMIFS(bank!$G:$G,bank!$I:$I,$A11,bank!$J:$J,1)</f>
        <v>0</v>
      </c>
      <c r="F11" s="17">
        <f>SUMIFS(bank!$G:$G,bank!$I:$I,$A11,bank!$J:$J,2)</f>
        <v>0</v>
      </c>
      <c r="G11" s="17" t="e">
        <f>#REF!-#REF!</f>
        <v>#REF!</v>
      </c>
      <c r="H11" s="18" t="e">
        <f>#REF!-#REF!</f>
        <v>#REF!</v>
      </c>
    </row>
    <row r="12" spans="1:8" x14ac:dyDescent="0.25">
      <c r="A12" s="11" t="s">
        <v>47</v>
      </c>
      <c r="B12" s="15">
        <v>115</v>
      </c>
      <c r="C12" s="19">
        <v>8500000</v>
      </c>
      <c r="D12" s="19">
        <v>0</v>
      </c>
      <c r="E12" s="20">
        <f>SUMIFS(bank!$G:$G,bank!$I:$I,$A12,bank!$J:$J,1)</f>
        <v>0</v>
      </c>
      <c r="F12" s="20">
        <f>SUMIFS(bank!$G:$G,bank!$I:$I,$A12,bank!$J:$J,2)</f>
        <v>0</v>
      </c>
      <c r="G12" s="20" t="e">
        <f>#REF!-#REF!</f>
        <v>#REF!</v>
      </c>
      <c r="H12" s="21" t="e">
        <f>#REF!-#REF!</f>
        <v>#REF!</v>
      </c>
    </row>
    <row r="13" spans="1:8" x14ac:dyDescent="0.25">
      <c r="A13" s="14" t="s">
        <v>82</v>
      </c>
      <c r="B13" s="15">
        <v>115</v>
      </c>
      <c r="C13" s="16">
        <v>0</v>
      </c>
      <c r="D13" s="16">
        <v>8500000</v>
      </c>
      <c r="E13" s="17">
        <f>SUMIFS(bank!$G:$G,bank!$I:$I,$A13,bank!$J:$J,1)</f>
        <v>0</v>
      </c>
      <c r="F13" s="17">
        <f>SUMIFS(bank!$G:$G,bank!$I:$I,$A13,bank!$J:$J,2)</f>
        <v>0</v>
      </c>
      <c r="G13" s="17" t="e">
        <f>#REF!-#REF!</f>
        <v>#REF!</v>
      </c>
      <c r="H13" s="18" t="e">
        <f>#REF!-#REF!</f>
        <v>#REF!</v>
      </c>
    </row>
    <row r="14" spans="1:8" x14ac:dyDescent="0.25">
      <c r="A14" s="11" t="s">
        <v>69</v>
      </c>
      <c r="B14" s="15">
        <v>101</v>
      </c>
      <c r="C14" s="19">
        <v>0</v>
      </c>
      <c r="D14" s="19">
        <v>8500000</v>
      </c>
      <c r="E14" s="20">
        <f>SUMIFS(bank!$G:$G,bank!$I:$I,$A14,bank!$J:$J,1)</f>
        <v>0</v>
      </c>
      <c r="F14" s="20">
        <f>SUMIFS(bank!$G:$G,bank!$I:$I,$A14,bank!$J:$J,2)</f>
        <v>0</v>
      </c>
      <c r="G14" s="20" t="e">
        <f>#REF!-#REF!</f>
        <v>#REF!</v>
      </c>
      <c r="H14" s="21" t="e">
        <f>#REF!-#REF!</f>
        <v>#REF!</v>
      </c>
    </row>
    <row r="15" spans="1:8" x14ac:dyDescent="0.25">
      <c r="A15" s="14" t="s">
        <v>86</v>
      </c>
      <c r="B15" s="15">
        <v>116</v>
      </c>
      <c r="C15" s="16">
        <v>0</v>
      </c>
      <c r="D15" s="16">
        <v>8500000</v>
      </c>
      <c r="E15" s="17">
        <f>SUMIFS(bank!$G:$G,bank!$I:$I,$A15,bank!$J:$J,1)</f>
        <v>0</v>
      </c>
      <c r="F15" s="17">
        <f>SUMIFS(bank!$G:$G,bank!$I:$I,$A15,bank!$J:$J,2)</f>
        <v>0</v>
      </c>
      <c r="G15" s="17" t="e">
        <f>#REF!-#REF!</f>
        <v>#REF!</v>
      </c>
      <c r="H15" s="18" t="e">
        <f>#REF!-#REF!</f>
        <v>#REF!</v>
      </c>
    </row>
    <row r="16" spans="1:8" x14ac:dyDescent="0.25">
      <c r="A16" s="11" t="s">
        <v>67</v>
      </c>
      <c r="B16" s="15">
        <v>116</v>
      </c>
      <c r="C16" s="19">
        <v>8500000</v>
      </c>
      <c r="D16" s="19">
        <v>0</v>
      </c>
      <c r="E16" s="20">
        <f>SUMIFS(bank!$G:$G,bank!$I:$I,$A16,bank!$J:$J,1)</f>
        <v>0</v>
      </c>
      <c r="F16" s="20">
        <f>SUMIFS(bank!$G:$G,bank!$I:$I,$A16,bank!$J:$J,2)</f>
        <v>0</v>
      </c>
      <c r="G16" s="20" t="e">
        <f>#REF!-#REF!</f>
        <v>#REF!</v>
      </c>
      <c r="H16" s="21" t="e">
        <f>#REF!-#REF!</f>
        <v>#REF!</v>
      </c>
    </row>
    <row r="17" spans="1:9" x14ac:dyDescent="0.25">
      <c r="A17" s="14" t="s">
        <v>87</v>
      </c>
      <c r="B17" s="15">
        <v>116</v>
      </c>
      <c r="C17" s="16">
        <v>0</v>
      </c>
      <c r="D17" s="16">
        <v>8500000</v>
      </c>
      <c r="E17" s="17">
        <f>SUMIFS(bank!$G:$G,bank!$I:$I,$A17,bank!$J:$J,1)</f>
        <v>0</v>
      </c>
      <c r="F17" s="17">
        <f>SUMIFS(bank!$G:$G,bank!$I:$I,$A17,bank!$J:$J,2)</f>
        <v>0</v>
      </c>
      <c r="G17" s="17" t="e">
        <f>#REF!-#REF!</f>
        <v>#REF!</v>
      </c>
      <c r="H17" s="18" t="e">
        <f>#REF!-#REF!</f>
        <v>#REF!</v>
      </c>
    </row>
    <row r="18" spans="1:9" x14ac:dyDescent="0.25">
      <c r="A18" s="11" t="s">
        <v>83</v>
      </c>
      <c r="B18" s="15">
        <v>115</v>
      </c>
      <c r="C18" s="19">
        <v>0</v>
      </c>
      <c r="D18" s="19">
        <v>8500000</v>
      </c>
      <c r="E18" s="20">
        <f>SUMIFS(bank!$G:$G,bank!$I:$I,$A18,bank!$J:$J,1)</f>
        <v>0</v>
      </c>
      <c r="F18" s="20">
        <f>SUMIFS(bank!$G:$G,bank!$I:$I,$A18,bank!$J:$J,2)</f>
        <v>0</v>
      </c>
      <c r="G18" s="20" t="e">
        <f>#REF!-#REF!</f>
        <v>#REF!</v>
      </c>
      <c r="H18" s="21" t="e">
        <f>#REF!-#REF!</f>
        <v>#REF!</v>
      </c>
    </row>
    <row r="19" spans="1:9" x14ac:dyDescent="0.25">
      <c r="A19" s="14" t="s">
        <v>84</v>
      </c>
      <c r="B19" s="15">
        <v>115</v>
      </c>
      <c r="C19" s="16">
        <v>0</v>
      </c>
      <c r="D19" s="16">
        <v>8500000</v>
      </c>
      <c r="E19" s="17">
        <f>SUMIFS(bank!$G:$G,bank!$I:$I,$A19,bank!$J:$J,1)</f>
        <v>0</v>
      </c>
      <c r="F19" s="17">
        <f>SUMIFS(bank!$G:$G,bank!$I:$I,$A19,bank!$J:$J,2)</f>
        <v>0</v>
      </c>
      <c r="G19" s="17" t="e">
        <f>#REF!-#REF!</f>
        <v>#REF!</v>
      </c>
      <c r="H19" s="18" t="e">
        <f>#REF!-#REF!</f>
        <v>#REF!</v>
      </c>
    </row>
    <row r="20" spans="1:9" x14ac:dyDescent="0.25">
      <c r="A20" s="11" t="s">
        <v>145</v>
      </c>
      <c r="B20" s="15">
        <v>205</v>
      </c>
      <c r="C20" s="19">
        <v>8500000</v>
      </c>
      <c r="D20" s="19">
        <v>0</v>
      </c>
      <c r="E20" s="20">
        <f>SUMIFS(bank!$G:$G,bank!$I:$I,$A20,bank!$J:$J,1)</f>
        <v>0</v>
      </c>
      <c r="F20" s="20">
        <f>SUMIFS(bank!$G:$G,bank!$I:$I,$A20,bank!$J:$J,2)</f>
        <v>0</v>
      </c>
      <c r="G20" s="20" t="e">
        <f>#REF!-#REF!</f>
        <v>#REF!</v>
      </c>
      <c r="H20" s="21" t="e">
        <f>#REF!-#REF!</f>
        <v>#REF!</v>
      </c>
    </row>
    <row r="21" spans="1:9" x14ac:dyDescent="0.25">
      <c r="A21" s="14" t="s">
        <v>152</v>
      </c>
      <c r="B21" s="15">
        <v>115</v>
      </c>
      <c r="C21" s="22">
        <v>8500000</v>
      </c>
      <c r="D21" s="22">
        <v>8500000</v>
      </c>
      <c r="E21" s="17">
        <f>SUMIFS(bank!$G:$G,bank!$I:$I,$A21,bank!$J:$J,1)</f>
        <v>0</v>
      </c>
      <c r="F21" s="17">
        <f>SUMIFS(bank!$G:$G,bank!$I:$I,$A21,bank!$J:$J,2)</f>
        <v>0</v>
      </c>
      <c r="G21" s="17" t="e">
        <f>#REF!-#REF!</f>
        <v>#REF!</v>
      </c>
      <c r="H21" s="18" t="e">
        <f>#REF!-#REF!</f>
        <v>#REF!</v>
      </c>
    </row>
    <row r="22" spans="1:9" x14ac:dyDescent="0.25">
      <c r="A22" s="11" t="s">
        <v>70</v>
      </c>
      <c r="B22" s="15">
        <v>101</v>
      </c>
      <c r="C22" s="19">
        <v>0</v>
      </c>
      <c r="D22" s="19">
        <v>8500000</v>
      </c>
      <c r="E22" s="20">
        <f>SUMIFS(bank!$G:$G,bank!$I:$I,$A22,bank!$J:$J,1)</f>
        <v>0</v>
      </c>
      <c r="F22" s="20">
        <f>SUMIFS(bank!$G:$G,bank!$I:$I,$A22,bank!$J:$J,2)</f>
        <v>0</v>
      </c>
      <c r="G22" s="20" t="e">
        <f>#REF!-#REF!</f>
        <v>#REF!</v>
      </c>
      <c r="H22" s="21" t="e">
        <f>#REF!-#REF!</f>
        <v>#REF!</v>
      </c>
    </row>
    <row r="23" spans="1:9" x14ac:dyDescent="0.25">
      <c r="A23" s="14" t="s">
        <v>88</v>
      </c>
      <c r="B23" s="15">
        <v>116</v>
      </c>
      <c r="C23" s="16">
        <v>0</v>
      </c>
      <c r="D23" s="16">
        <v>8500000</v>
      </c>
      <c r="E23" s="17">
        <f>SUMIFS(bank!$G:$G,bank!$I:$I,$A23,bank!$J:$J,1)</f>
        <v>0</v>
      </c>
      <c r="F23" s="17">
        <f>SUMIFS(bank!$G:$G,bank!$I:$I,$A23,bank!$J:$J,2)</f>
        <v>0</v>
      </c>
      <c r="G23" s="17" t="e">
        <f>#REF!-#REF!</f>
        <v>#REF!</v>
      </c>
      <c r="H23" s="18" t="e">
        <f>#REF!-#REF!</f>
        <v>#REF!</v>
      </c>
    </row>
    <row r="24" spans="1:9" x14ac:dyDescent="0.25">
      <c r="A24" s="11" t="s">
        <v>89</v>
      </c>
      <c r="B24" s="15">
        <v>116</v>
      </c>
      <c r="C24" s="19">
        <v>0</v>
      </c>
      <c r="D24" s="19">
        <v>8500000</v>
      </c>
      <c r="E24" s="20">
        <f>SUMIFS(bank!$G:$G,bank!$I:$I,$A24,bank!$J:$J,1)</f>
        <v>0</v>
      </c>
      <c r="F24" s="20">
        <f>SUMIFS(bank!$G:$G,bank!$I:$I,$A24,bank!$J:$J,2)</f>
        <v>0</v>
      </c>
      <c r="G24" s="20" t="e">
        <f>#REF!-#REF!</f>
        <v>#REF!</v>
      </c>
      <c r="H24" s="21" t="e">
        <f>#REF!-#REF!</f>
        <v>#REF!</v>
      </c>
    </row>
    <row r="25" spans="1:9" x14ac:dyDescent="0.25">
      <c r="A25" t="s">
        <v>185</v>
      </c>
      <c r="B25" s="12">
        <v>103</v>
      </c>
      <c r="C25" s="2">
        <v>0</v>
      </c>
      <c r="D25" s="2">
        <v>8500000</v>
      </c>
      <c r="E25" s="1">
        <f>SUMIFS(bank!$G:$G,bank!$I:$I,$A25,bank!$J:$J,1)</f>
        <v>0</v>
      </c>
      <c r="F25" s="1">
        <f>SUMIFS(bank!$G:$G,bank!$I:$I,$A25,bank!$J:$J,2)</f>
        <v>0</v>
      </c>
      <c r="G25" s="1" t="e">
        <f>#REF!-#REF!</f>
        <v>#REF!</v>
      </c>
      <c r="H25" s="1" t="e">
        <f>#REF!-#REF!</f>
        <v>#REF!</v>
      </c>
      <c r="I25" t="s">
        <v>168</v>
      </c>
    </row>
    <row r="26" spans="1:9" x14ac:dyDescent="0.25">
      <c r="A26" t="s">
        <v>188</v>
      </c>
      <c r="B26" s="12">
        <v>103</v>
      </c>
      <c r="C26" s="2">
        <v>0</v>
      </c>
      <c r="D26" s="2">
        <v>8550000</v>
      </c>
      <c r="E26" s="1">
        <f>SUMIFS(bank!$G:$G,bank!$I:$I,$A26,bank!$J:$J,1)</f>
        <v>0</v>
      </c>
      <c r="F26" s="1">
        <f>SUMIFS(bank!$G:$G,bank!$I:$I,$A26,bank!$J:$J,2)</f>
        <v>0</v>
      </c>
      <c r="G26" s="1" t="e">
        <f>#REF!-#REF!</f>
        <v>#REF!</v>
      </c>
      <c r="H26" s="1" t="e">
        <f>#REF!-#REF!</f>
        <v>#REF!</v>
      </c>
      <c r="I26" t="s">
        <v>168</v>
      </c>
    </row>
    <row r="27" spans="1:9" x14ac:dyDescent="0.25">
      <c r="A27" s="11" t="s">
        <v>183</v>
      </c>
      <c r="B27" s="15">
        <v>108</v>
      </c>
      <c r="C27" s="19">
        <v>0</v>
      </c>
      <c r="D27" s="19">
        <v>8500000</v>
      </c>
      <c r="E27" s="20">
        <f>SUMIFS(bank!$G:$G,bank!$I:$I,$A27,bank!$J:$J,1)</f>
        <v>0</v>
      </c>
      <c r="F27" s="20">
        <f>SUMIFS(bank!$G:$G,bank!$I:$I,$A27,bank!$J:$J,2)</f>
        <v>1500000</v>
      </c>
      <c r="G27" s="20" t="e">
        <f>#REF!-#REF!</f>
        <v>#REF!</v>
      </c>
      <c r="H27" s="21" t="e">
        <f>#REF!-#REF!</f>
        <v>#REF!</v>
      </c>
    </row>
    <row r="28" spans="1:9" x14ac:dyDescent="0.25">
      <c r="A28" s="14" t="s">
        <v>76</v>
      </c>
      <c r="B28" s="15">
        <v>108</v>
      </c>
      <c r="C28" s="16">
        <v>0</v>
      </c>
      <c r="D28" s="16">
        <v>8500000</v>
      </c>
      <c r="E28" s="17">
        <f>SUMIFS(bank!$G:$G,bank!$I:$I,$A28,bank!$J:$J,1)</f>
        <v>0</v>
      </c>
      <c r="F28" s="17">
        <f>SUMIFS(bank!$G:$G,bank!$I:$I,$A28,bank!$J:$J,2)</f>
        <v>0</v>
      </c>
      <c r="G28" s="17" t="e">
        <f>#REF!-#REF!</f>
        <v>#REF!</v>
      </c>
      <c r="H28" s="18" t="e">
        <f>#REF!-#REF!</f>
        <v>#REF!</v>
      </c>
    </row>
  </sheetData>
  <conditionalFormatting sqref="A1">
    <cfRule type="duplicateValues" dxfId="257" priority="85"/>
    <cfRule type="duplicateValues" dxfId="256" priority="86"/>
    <cfRule type="duplicateValues" dxfId="255" priority="87"/>
  </conditionalFormatting>
  <conditionalFormatting sqref="A2">
    <cfRule type="duplicateValues" dxfId="254" priority="79"/>
    <cfRule type="duplicateValues" dxfId="253" priority="80"/>
    <cfRule type="duplicateValues" dxfId="252" priority="81"/>
  </conditionalFormatting>
  <conditionalFormatting sqref="A3">
    <cfRule type="duplicateValues" dxfId="251" priority="76"/>
    <cfRule type="duplicateValues" dxfId="250" priority="77"/>
    <cfRule type="duplicateValues" dxfId="249" priority="78"/>
  </conditionalFormatting>
  <conditionalFormatting sqref="A4">
    <cfRule type="duplicateValues" dxfId="248" priority="73"/>
    <cfRule type="duplicateValues" dxfId="247" priority="74"/>
    <cfRule type="duplicateValues" dxfId="246" priority="75"/>
  </conditionalFormatting>
  <conditionalFormatting sqref="A5">
    <cfRule type="duplicateValues" dxfId="245" priority="70"/>
    <cfRule type="duplicateValues" dxfId="244" priority="71"/>
    <cfRule type="duplicateValues" dxfId="243" priority="72"/>
  </conditionalFormatting>
  <conditionalFormatting sqref="A6">
    <cfRule type="duplicateValues" dxfId="242" priority="67"/>
    <cfRule type="duplicateValues" dxfId="241" priority="68"/>
    <cfRule type="duplicateValues" dxfId="240" priority="69"/>
  </conditionalFormatting>
  <conditionalFormatting sqref="A7">
    <cfRule type="duplicateValues" dxfId="239" priority="64"/>
    <cfRule type="duplicateValues" dxfId="238" priority="65"/>
    <cfRule type="duplicateValues" dxfId="237" priority="66"/>
  </conditionalFormatting>
  <conditionalFormatting sqref="A8">
    <cfRule type="duplicateValues" dxfId="236" priority="61"/>
    <cfRule type="duplicateValues" dxfId="235" priority="62"/>
    <cfRule type="duplicateValues" dxfId="234" priority="63"/>
  </conditionalFormatting>
  <conditionalFormatting sqref="A9">
    <cfRule type="duplicateValues" dxfId="233" priority="58"/>
    <cfRule type="duplicateValues" dxfId="232" priority="59"/>
    <cfRule type="duplicateValues" dxfId="231" priority="60"/>
  </conditionalFormatting>
  <conditionalFormatting sqref="A10">
    <cfRule type="duplicateValues" dxfId="230" priority="55"/>
    <cfRule type="duplicateValues" dxfId="229" priority="56"/>
    <cfRule type="duplicateValues" dxfId="228" priority="57"/>
  </conditionalFormatting>
  <conditionalFormatting sqref="A11">
    <cfRule type="duplicateValues" dxfId="227" priority="52"/>
    <cfRule type="duplicateValues" dxfId="226" priority="53"/>
    <cfRule type="duplicateValues" dxfId="225" priority="54"/>
  </conditionalFormatting>
  <conditionalFormatting sqref="A12">
    <cfRule type="duplicateValues" dxfId="224" priority="49"/>
    <cfRule type="duplicateValues" dxfId="223" priority="50"/>
    <cfRule type="duplicateValues" dxfId="222" priority="51"/>
  </conditionalFormatting>
  <conditionalFormatting sqref="A13">
    <cfRule type="duplicateValues" dxfId="221" priority="46"/>
    <cfRule type="duplicateValues" dxfId="220" priority="47"/>
    <cfRule type="duplicateValues" dxfId="219" priority="48"/>
  </conditionalFormatting>
  <conditionalFormatting sqref="A14">
    <cfRule type="duplicateValues" dxfId="218" priority="43"/>
    <cfRule type="duplicateValues" dxfId="217" priority="44"/>
    <cfRule type="duplicateValues" dxfId="216" priority="45"/>
  </conditionalFormatting>
  <conditionalFormatting sqref="A15">
    <cfRule type="duplicateValues" dxfId="215" priority="40"/>
    <cfRule type="duplicateValues" dxfId="214" priority="41"/>
    <cfRule type="duplicateValues" dxfId="213" priority="42"/>
  </conditionalFormatting>
  <conditionalFormatting sqref="A16">
    <cfRule type="duplicateValues" dxfId="212" priority="37"/>
    <cfRule type="duplicateValues" dxfId="211" priority="38"/>
    <cfRule type="duplicateValues" dxfId="210" priority="39"/>
  </conditionalFormatting>
  <conditionalFormatting sqref="A17">
    <cfRule type="duplicateValues" dxfId="209" priority="34"/>
    <cfRule type="duplicateValues" dxfId="208" priority="35"/>
    <cfRule type="duplicateValues" dxfId="207" priority="36"/>
  </conditionalFormatting>
  <conditionalFormatting sqref="A18">
    <cfRule type="duplicateValues" dxfId="206" priority="31"/>
    <cfRule type="duplicateValues" dxfId="205" priority="32"/>
    <cfRule type="duplicateValues" dxfId="204" priority="33"/>
  </conditionalFormatting>
  <conditionalFormatting sqref="A19">
    <cfRule type="duplicateValues" dxfId="203" priority="28"/>
    <cfRule type="duplicateValues" dxfId="202" priority="29"/>
    <cfRule type="duplicateValues" dxfId="201" priority="30"/>
  </conditionalFormatting>
  <conditionalFormatting sqref="A20">
    <cfRule type="duplicateValues" dxfId="200" priority="25"/>
    <cfRule type="duplicateValues" dxfId="199" priority="26"/>
    <cfRule type="duplicateValues" dxfId="198" priority="27"/>
  </conditionalFormatting>
  <conditionalFormatting sqref="A21">
    <cfRule type="duplicateValues" dxfId="197" priority="22"/>
    <cfRule type="duplicateValues" dxfId="196" priority="23"/>
    <cfRule type="duplicateValues" dxfId="195" priority="24"/>
  </conditionalFormatting>
  <conditionalFormatting sqref="A22">
    <cfRule type="duplicateValues" dxfId="194" priority="19"/>
    <cfRule type="duplicateValues" dxfId="193" priority="20"/>
    <cfRule type="duplicateValues" dxfId="192" priority="21"/>
  </conditionalFormatting>
  <conditionalFormatting sqref="A23">
    <cfRule type="duplicateValues" dxfId="191" priority="16"/>
    <cfRule type="duplicateValues" dxfId="190" priority="17"/>
    <cfRule type="duplicateValues" dxfId="189" priority="18"/>
  </conditionalFormatting>
  <conditionalFormatting sqref="A24">
    <cfRule type="duplicateValues" dxfId="188" priority="13"/>
    <cfRule type="duplicateValues" dxfId="187" priority="14"/>
    <cfRule type="duplicateValues" dxfId="186" priority="15"/>
  </conditionalFormatting>
  <conditionalFormatting sqref="A25">
    <cfRule type="duplicateValues" dxfId="185" priority="10"/>
    <cfRule type="duplicateValues" dxfId="184" priority="11"/>
    <cfRule type="duplicateValues" dxfId="183" priority="12"/>
  </conditionalFormatting>
  <conditionalFormatting sqref="A26">
    <cfRule type="duplicateValues" dxfId="182" priority="7"/>
    <cfRule type="duplicateValues" dxfId="181" priority="8"/>
    <cfRule type="duplicateValues" dxfId="180" priority="9"/>
  </conditionalFormatting>
  <conditionalFormatting sqref="A27">
    <cfRule type="duplicateValues" dxfId="179" priority="4"/>
    <cfRule type="duplicateValues" dxfId="178" priority="5"/>
    <cfRule type="duplicateValues" dxfId="177" priority="6"/>
  </conditionalFormatting>
  <conditionalFormatting sqref="A28">
    <cfRule type="duplicateValues" dxfId="176" priority="1"/>
    <cfRule type="duplicateValues" dxfId="175" priority="2"/>
    <cfRule type="duplicateValues" dxfId="174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FA16-EC0A-46FA-BEAD-28E12708E8C7}">
  <dimension ref="A1:H63"/>
  <sheetViews>
    <sheetView workbookViewId="0">
      <selection activeCell="D64" sqref="D64"/>
    </sheetView>
  </sheetViews>
  <sheetFormatPr defaultColWidth="8.85546875" defaultRowHeight="15" x14ac:dyDescent="0.25"/>
  <cols>
    <col min="1" max="1" width="40.85546875" customWidth="1"/>
    <col min="3" max="3" width="23" customWidth="1"/>
    <col min="4" max="4" width="12.42578125" customWidth="1"/>
    <col min="5" max="5" width="15.140625" customWidth="1"/>
  </cols>
  <sheetData>
    <row r="1" spans="1:8" x14ac:dyDescent="0.25">
      <c r="A1" s="14" t="s">
        <v>19</v>
      </c>
      <c r="B1" s="15">
        <v>114</v>
      </c>
      <c r="C1" s="16">
        <v>8500000</v>
      </c>
      <c r="D1" s="16">
        <v>0</v>
      </c>
      <c r="E1" s="17">
        <f>SUMIFS(bank!$G:$G,bank!$I:$I,$A1,bank!$J:$J,1)</f>
        <v>0</v>
      </c>
      <c r="F1" s="17">
        <f>SUMIFS(bank!$G:$G,bank!$I:$I,$A1,bank!$J:$J,2)</f>
        <v>0</v>
      </c>
      <c r="G1" s="17" t="e">
        <f>#REF!-#REF!</f>
        <v>#REF!</v>
      </c>
      <c r="H1" s="18" t="e">
        <f>#REF!-#REF!</f>
        <v>#REF!</v>
      </c>
    </row>
    <row r="2" spans="1:8" x14ac:dyDescent="0.25">
      <c r="A2" s="14" t="s">
        <v>21</v>
      </c>
      <c r="B2" s="15">
        <v>114</v>
      </c>
      <c r="C2" s="16">
        <v>8500000</v>
      </c>
      <c r="D2" s="16">
        <v>0</v>
      </c>
      <c r="E2" s="17">
        <f>SUMIFS(bank!$G:$G,bank!$I:$I,$A2,bank!$J:$J,1)</f>
        <v>0</v>
      </c>
      <c r="F2" s="17">
        <f>SUMIFS(bank!$G:$G,bank!$I:$I,$A2,bank!$J:$J,2)</f>
        <v>0</v>
      </c>
      <c r="G2" s="17" t="e">
        <f>#REF!-#REF!</f>
        <v>#REF!</v>
      </c>
      <c r="H2" s="18" t="e">
        <f>#REF!-#REF!</f>
        <v>#REF!</v>
      </c>
    </row>
    <row r="3" spans="1:8" x14ac:dyDescent="0.25">
      <c r="A3" s="11" t="s">
        <v>20</v>
      </c>
      <c r="B3" s="15">
        <v>114</v>
      </c>
      <c r="C3" s="19">
        <v>8500000</v>
      </c>
      <c r="D3" s="19">
        <v>0</v>
      </c>
      <c r="E3" s="20">
        <f>SUMIFS(bank!$G:$G,bank!$I:$I,$A3,bank!$J:$J,1)</f>
        <v>0</v>
      </c>
      <c r="F3" s="20">
        <f>SUMIFS(bank!$G:$G,bank!$I:$I,$A3,bank!$J:$J,2)</f>
        <v>0</v>
      </c>
      <c r="G3" s="20" t="e">
        <f>#REF!-#REF!</f>
        <v>#REF!</v>
      </c>
      <c r="H3" s="21" t="e">
        <f>#REF!-#REF!</f>
        <v>#REF!</v>
      </c>
    </row>
    <row r="4" spans="1:8" x14ac:dyDescent="0.25">
      <c r="A4" s="14" t="s">
        <v>22</v>
      </c>
      <c r="B4" s="15">
        <v>114</v>
      </c>
      <c r="C4" s="16">
        <v>8500000</v>
      </c>
      <c r="D4" s="16">
        <v>0</v>
      </c>
      <c r="E4" s="17">
        <f>SUMIFS(bank!$G:$G,bank!$I:$I,$A4,bank!$J:$J,1)</f>
        <v>0</v>
      </c>
      <c r="F4" s="17">
        <f>SUMIFS(bank!$G:$G,bank!$I:$I,$A4,bank!$J:$J,2)</f>
        <v>0</v>
      </c>
      <c r="G4" s="17" t="e">
        <f>#REF!-#REF!</f>
        <v>#REF!</v>
      </c>
      <c r="H4" s="18" t="e">
        <f>#REF!-#REF!</f>
        <v>#REF!</v>
      </c>
    </row>
    <row r="5" spans="1:8" x14ac:dyDescent="0.25">
      <c r="A5" s="11" t="s">
        <v>23</v>
      </c>
      <c r="B5" s="15">
        <v>114</v>
      </c>
      <c r="C5" s="19">
        <v>8500000</v>
      </c>
      <c r="D5" s="19">
        <v>0</v>
      </c>
      <c r="E5" s="20">
        <f>SUMIFS(bank!$G:$G,bank!$I:$I,$A5,bank!$J:$J,1)</f>
        <v>0</v>
      </c>
      <c r="F5" s="20">
        <f>SUMIFS(bank!$G:$G,bank!$I:$I,$A5,bank!$J:$J,2)</f>
        <v>0</v>
      </c>
      <c r="G5" s="20" t="e">
        <f>#REF!-#REF!</f>
        <v>#REF!</v>
      </c>
      <c r="H5" s="21" t="e">
        <f>#REF!-#REF!</f>
        <v>#REF!</v>
      </c>
    </row>
    <row r="6" spans="1:8" x14ac:dyDescent="0.25">
      <c r="A6" s="11" t="s">
        <v>24</v>
      </c>
      <c r="B6" s="15">
        <v>114</v>
      </c>
      <c r="C6" s="19">
        <v>8500000</v>
      </c>
      <c r="D6" s="19">
        <v>0</v>
      </c>
      <c r="E6" s="20">
        <f>SUMIFS(bank!$G:$G,bank!$I:$I,$A6,bank!$J:$J,1)</f>
        <v>0</v>
      </c>
      <c r="F6" s="20">
        <f>SUMIFS(bank!$G:$G,bank!$I:$I,$A6,bank!$J:$J,2)</f>
        <v>0</v>
      </c>
      <c r="G6" s="20" t="e">
        <f>#REF!-#REF!</f>
        <v>#REF!</v>
      </c>
      <c r="H6" s="21" t="e">
        <f>#REF!-#REF!</f>
        <v>#REF!</v>
      </c>
    </row>
    <row r="7" spans="1:8" x14ac:dyDescent="0.25">
      <c r="A7" s="14" t="s">
        <v>25</v>
      </c>
      <c r="B7" s="15">
        <v>114</v>
      </c>
      <c r="C7" s="16">
        <v>8500000</v>
      </c>
      <c r="D7" s="16">
        <v>0</v>
      </c>
      <c r="E7" s="17">
        <f>SUMIFS(bank!$G:$G,bank!$I:$I,$A7,bank!$J:$J,1)</f>
        <v>0</v>
      </c>
      <c r="F7" s="17">
        <f>SUMIFS(bank!$G:$G,bank!$I:$I,$A7,bank!$J:$J,2)</f>
        <v>0</v>
      </c>
      <c r="G7" s="17" t="e">
        <f>#REF!-#REF!</f>
        <v>#REF!</v>
      </c>
      <c r="H7" s="18" t="e">
        <f>#REF!-#REF!</f>
        <v>#REF!</v>
      </c>
    </row>
    <row r="8" spans="1:8" x14ac:dyDescent="0.25">
      <c r="A8" s="11" t="s">
        <v>26</v>
      </c>
      <c r="B8" s="15">
        <v>114</v>
      </c>
      <c r="C8" s="19">
        <v>8500000</v>
      </c>
      <c r="D8" s="19">
        <v>0</v>
      </c>
      <c r="E8" s="20">
        <f>SUMIFS(bank!$G:$G,bank!$I:$I,$A8,bank!$J:$J,1)</f>
        <v>0</v>
      </c>
      <c r="F8" s="20">
        <f>SUMIFS(bank!$G:$G,bank!$I:$I,$A8,bank!$J:$J,2)</f>
        <v>0</v>
      </c>
      <c r="G8" s="20" t="e">
        <f>#REF!-#REF!</f>
        <v>#REF!</v>
      </c>
      <c r="H8" s="21" t="e">
        <f>#REF!-#REF!</f>
        <v>#REF!</v>
      </c>
    </row>
    <row r="9" spans="1:8" x14ac:dyDescent="0.25">
      <c r="A9" s="11" t="s">
        <v>28</v>
      </c>
      <c r="B9" s="15">
        <v>114</v>
      </c>
      <c r="C9" s="19">
        <v>8500000</v>
      </c>
      <c r="D9" s="19">
        <v>0</v>
      </c>
      <c r="E9" s="20">
        <f>SUMIFS(bank!$G:$G,bank!$I:$I,$A9,bank!$J:$J,1)</f>
        <v>0</v>
      </c>
      <c r="F9" s="20">
        <f>SUMIFS(bank!$G:$G,bank!$I:$I,$A9,bank!$J:$J,2)</f>
        <v>0</v>
      </c>
      <c r="G9" s="20" t="e">
        <f>#REF!-#REF!</f>
        <v>#REF!</v>
      </c>
      <c r="H9" s="21" t="e">
        <f>#REF!-#REF!</f>
        <v>#REF!</v>
      </c>
    </row>
    <row r="10" spans="1:8" x14ac:dyDescent="0.25">
      <c r="A10" s="14" t="s">
        <v>29</v>
      </c>
      <c r="B10" s="15">
        <v>114</v>
      </c>
      <c r="C10" s="16">
        <v>8500000</v>
      </c>
      <c r="D10" s="16">
        <v>0</v>
      </c>
      <c r="E10" s="17">
        <f>SUMIFS(bank!$G:$G,bank!$I:$I,$A10,bank!$J:$J,1)</f>
        <v>0</v>
      </c>
      <c r="F10" s="17">
        <f>SUMIFS(bank!$G:$G,bank!$I:$I,$A10,bank!$J:$J,2)</f>
        <v>0</v>
      </c>
      <c r="G10" s="17" t="e">
        <f>#REF!-#REF!</f>
        <v>#REF!</v>
      </c>
      <c r="H10" s="18" t="e">
        <f>#REF!-#REF!</f>
        <v>#REF!</v>
      </c>
    </row>
    <row r="11" spans="1:8" x14ac:dyDescent="0.25">
      <c r="A11" s="14" t="s">
        <v>30</v>
      </c>
      <c r="B11" s="15">
        <v>114</v>
      </c>
      <c r="C11" s="16">
        <v>8500000</v>
      </c>
      <c r="D11" s="16">
        <v>0</v>
      </c>
      <c r="E11" s="17">
        <f>SUMIFS(bank!$G:$G,bank!$I:$I,$A11,bank!$J:$J,1)</f>
        <v>0</v>
      </c>
      <c r="F11" s="17">
        <f>SUMIFS(bank!$G:$G,bank!$I:$I,$A11,bank!$J:$J,2)</f>
        <v>0</v>
      </c>
      <c r="G11" s="17" t="e">
        <f>#REF!-#REF!</f>
        <v>#REF!</v>
      </c>
      <c r="H11" s="18" t="e">
        <f>#REF!-#REF!</f>
        <v>#REF!</v>
      </c>
    </row>
    <row r="12" spans="1:8" x14ac:dyDescent="0.25">
      <c r="A12" s="14" t="s">
        <v>31</v>
      </c>
      <c r="B12" s="15">
        <v>114</v>
      </c>
      <c r="C12" s="16">
        <v>8500000</v>
      </c>
      <c r="D12" s="16">
        <v>0</v>
      </c>
      <c r="E12" s="17">
        <f>SUMIFS(bank!$G:$G,bank!$I:$I,$A12,bank!$J:$J,1)</f>
        <v>0</v>
      </c>
      <c r="F12" s="17">
        <f>SUMIFS(bank!$G:$G,bank!$I:$I,$A12,bank!$J:$J,2)</f>
        <v>0</v>
      </c>
      <c r="G12" s="17" t="e">
        <f>#REF!-#REF!</f>
        <v>#REF!</v>
      </c>
      <c r="H12" s="18" t="e">
        <f>#REF!-#REF!</f>
        <v>#REF!</v>
      </c>
    </row>
    <row r="13" spans="1:8" x14ac:dyDescent="0.25">
      <c r="A13" s="11" t="s">
        <v>32</v>
      </c>
      <c r="B13" s="15">
        <v>114</v>
      </c>
      <c r="C13" s="19">
        <v>8500000</v>
      </c>
      <c r="D13" s="19">
        <v>0</v>
      </c>
      <c r="E13" s="20">
        <f>SUMIFS(bank!$G:$G,bank!$I:$I,$A13,bank!$J:$J,1)</f>
        <v>0</v>
      </c>
      <c r="F13" s="20">
        <f>SUMIFS(bank!$G:$G,bank!$I:$I,$A13,bank!$J:$J,2)</f>
        <v>0</v>
      </c>
      <c r="G13" s="20" t="e">
        <f>#REF!-#REF!</f>
        <v>#REF!</v>
      </c>
      <c r="H13" s="21" t="e">
        <f>#REF!-#REF!</f>
        <v>#REF!</v>
      </c>
    </row>
    <row r="14" spans="1:8" x14ac:dyDescent="0.25">
      <c r="A14" s="11" t="s">
        <v>33</v>
      </c>
      <c r="B14" s="15">
        <v>114</v>
      </c>
      <c r="C14" s="19">
        <v>8500000</v>
      </c>
      <c r="D14" s="19">
        <v>0</v>
      </c>
      <c r="E14" s="20">
        <f>SUMIFS(bank!$G:$G,bank!$I:$I,$A14,bank!$J:$J,1)</f>
        <v>0</v>
      </c>
      <c r="F14" s="20">
        <f>SUMIFS(bank!$G:$G,bank!$I:$I,$A14,bank!$J:$J,2)</f>
        <v>0</v>
      </c>
      <c r="G14" s="20" t="e">
        <f>#REF!-#REF!</f>
        <v>#REF!</v>
      </c>
      <c r="H14" s="21" t="e">
        <f>#REF!-#REF!</f>
        <v>#REF!</v>
      </c>
    </row>
    <row r="15" spans="1:8" x14ac:dyDescent="0.25">
      <c r="A15" s="14" t="s">
        <v>34</v>
      </c>
      <c r="B15" s="15">
        <v>114</v>
      </c>
      <c r="C15" s="16">
        <v>8500000</v>
      </c>
      <c r="D15" s="16">
        <v>0</v>
      </c>
      <c r="E15" s="17">
        <f>SUMIFS(bank!$G:$G,bank!$I:$I,$A15,bank!$J:$J,1)</f>
        <v>0</v>
      </c>
      <c r="F15" s="17">
        <f>SUMIFS(bank!$G:$G,bank!$I:$I,$A15,bank!$J:$J,2)</f>
        <v>0</v>
      </c>
      <c r="G15" s="17" t="e">
        <f>#REF!-#REF!</f>
        <v>#REF!</v>
      </c>
      <c r="H15" s="18" t="e">
        <f>#REF!-#REF!</f>
        <v>#REF!</v>
      </c>
    </row>
    <row r="16" spans="1:8" x14ac:dyDescent="0.25">
      <c r="A16" s="11" t="s">
        <v>35</v>
      </c>
      <c r="B16" s="15">
        <v>114</v>
      </c>
      <c r="C16" s="19">
        <v>8500000</v>
      </c>
      <c r="D16" s="19">
        <v>0</v>
      </c>
      <c r="E16" s="20">
        <f>SUMIFS(bank!$G:$G,bank!$I:$I,$A16,bank!$J:$J,1)</f>
        <v>0</v>
      </c>
      <c r="F16" s="20">
        <f>SUMIFS(bank!$G:$G,bank!$I:$I,$A16,bank!$J:$J,2)</f>
        <v>0</v>
      </c>
      <c r="G16" s="20" t="e">
        <f>#REF!-#REF!</f>
        <v>#REF!</v>
      </c>
      <c r="H16" s="21" t="e">
        <f>#REF!-#REF!</f>
        <v>#REF!</v>
      </c>
    </row>
    <row r="17" spans="1:8" x14ac:dyDescent="0.25">
      <c r="A17" s="14" t="s">
        <v>36</v>
      </c>
      <c r="B17" s="15">
        <v>114</v>
      </c>
      <c r="C17" s="16">
        <v>8500000</v>
      </c>
      <c r="D17" s="16">
        <v>0</v>
      </c>
      <c r="E17" s="17">
        <f>SUMIFS(bank!$G:$G,bank!$I:$I,$A17,bank!$J:$J,1)</f>
        <v>0</v>
      </c>
      <c r="F17" s="17">
        <f>SUMIFS(bank!$G:$G,bank!$I:$I,$A17,bank!$J:$J,2)</f>
        <v>0</v>
      </c>
      <c r="G17" s="17" t="e">
        <f>#REF!-#REF!</f>
        <v>#REF!</v>
      </c>
      <c r="H17" s="18" t="e">
        <f>#REF!-#REF!</f>
        <v>#REF!</v>
      </c>
    </row>
    <row r="18" spans="1:8" x14ac:dyDescent="0.25">
      <c r="A18" s="14" t="s">
        <v>37</v>
      </c>
      <c r="B18" s="15">
        <v>114</v>
      </c>
      <c r="C18" s="16">
        <v>8500000</v>
      </c>
      <c r="D18" s="16">
        <v>0</v>
      </c>
      <c r="E18" s="17">
        <f>SUMIFS(bank!$G:$G,bank!$I:$I,$A18,bank!$J:$J,1)</f>
        <v>0</v>
      </c>
      <c r="F18" s="17">
        <f>SUMIFS(bank!$G:$G,bank!$I:$I,$A18,bank!$J:$J,2)</f>
        <v>0</v>
      </c>
      <c r="G18" s="17" t="e">
        <f>#REF!-#REF!</f>
        <v>#REF!</v>
      </c>
      <c r="H18" s="18" t="e">
        <f>#REF!-#REF!</f>
        <v>#REF!</v>
      </c>
    </row>
    <row r="19" spans="1:8" x14ac:dyDescent="0.25">
      <c r="A19" s="14" t="s">
        <v>38</v>
      </c>
      <c r="B19" s="15">
        <v>114</v>
      </c>
      <c r="C19" s="16">
        <v>8500000</v>
      </c>
      <c r="D19" s="16">
        <v>0</v>
      </c>
      <c r="E19" s="17">
        <f>SUMIFS(bank!$G:$G,bank!$I:$I,$A19,bank!$J:$J,1)</f>
        <v>0</v>
      </c>
      <c r="F19" s="17">
        <f>SUMIFS(bank!$G:$G,bank!$I:$I,$A19,bank!$J:$J,2)</f>
        <v>0</v>
      </c>
      <c r="G19" s="17" t="e">
        <f>#REF!-#REF!</f>
        <v>#REF!</v>
      </c>
      <c r="H19" s="18" t="e">
        <f>#REF!-#REF!</f>
        <v>#REF!</v>
      </c>
    </row>
    <row r="20" spans="1:8" x14ac:dyDescent="0.25">
      <c r="A20" s="14" t="s">
        <v>39</v>
      </c>
      <c r="B20" s="15">
        <v>114</v>
      </c>
      <c r="C20" s="16">
        <v>8500000</v>
      </c>
      <c r="D20" s="16">
        <v>0</v>
      </c>
      <c r="E20" s="17">
        <f>SUMIFS(bank!$G:$G,bank!$I:$I,$A20,bank!$J:$J,1)</f>
        <v>0</v>
      </c>
      <c r="F20" s="17">
        <f>SUMIFS(bank!$G:$G,bank!$I:$I,$A20,bank!$J:$J,2)</f>
        <v>0</v>
      </c>
      <c r="G20" s="17" t="e">
        <f>#REF!-#REF!</f>
        <v>#REF!</v>
      </c>
      <c r="H20" s="18" t="e">
        <f>#REF!-#REF!</f>
        <v>#REF!</v>
      </c>
    </row>
    <row r="21" spans="1:8" x14ac:dyDescent="0.25">
      <c r="A21" s="11" t="s">
        <v>40</v>
      </c>
      <c r="B21" s="15">
        <v>115</v>
      </c>
      <c r="C21" s="19">
        <v>8500000</v>
      </c>
      <c r="D21" s="19">
        <v>0</v>
      </c>
      <c r="E21" s="20">
        <f>SUMIFS(bank!$G:$G,bank!$I:$I,$A21,bank!$J:$J,1)</f>
        <v>0</v>
      </c>
      <c r="F21" s="20">
        <f>SUMIFS(bank!$G:$G,bank!$I:$I,$A21,bank!$J:$J,2)</f>
        <v>0</v>
      </c>
      <c r="G21" s="20" t="e">
        <f>#REF!-#REF!</f>
        <v>#REF!</v>
      </c>
      <c r="H21" s="21" t="e">
        <f>#REF!-#REF!</f>
        <v>#REF!</v>
      </c>
    </row>
    <row r="22" spans="1:8" x14ac:dyDescent="0.25">
      <c r="A22" s="14" t="s">
        <v>41</v>
      </c>
      <c r="B22" s="15">
        <v>115</v>
      </c>
      <c r="C22" s="16">
        <v>8500000</v>
      </c>
      <c r="D22" s="16">
        <v>0</v>
      </c>
      <c r="E22" s="17">
        <f>SUMIFS(bank!$G:$G,bank!$I:$I,$A22,bank!$J:$J,1)</f>
        <v>0</v>
      </c>
      <c r="F22" s="17">
        <f>SUMIFS(bank!$G:$G,bank!$I:$I,$A22,bank!$J:$J,2)</f>
        <v>0</v>
      </c>
      <c r="G22" s="17" t="e">
        <f>#REF!-#REF!</f>
        <v>#REF!</v>
      </c>
      <c r="H22" s="18" t="e">
        <f>#REF!-#REF!</f>
        <v>#REF!</v>
      </c>
    </row>
    <row r="23" spans="1:8" x14ac:dyDescent="0.25">
      <c r="A23" s="11" t="s">
        <v>42</v>
      </c>
      <c r="B23" s="15">
        <v>115</v>
      </c>
      <c r="C23" s="19">
        <v>8500000</v>
      </c>
      <c r="D23" s="19">
        <v>0</v>
      </c>
      <c r="E23" s="20">
        <f>SUMIFS(bank!$G:$G,bank!$I:$I,$A23,bank!$J:$J,1)</f>
        <v>0</v>
      </c>
      <c r="F23" s="20">
        <f>SUMIFS(bank!$G:$G,bank!$I:$I,$A23,bank!$J:$J,2)</f>
        <v>0</v>
      </c>
      <c r="G23" s="20" t="e">
        <f>#REF!-#REF!</f>
        <v>#REF!</v>
      </c>
      <c r="H23" s="21" t="e">
        <f>#REF!-#REF!</f>
        <v>#REF!</v>
      </c>
    </row>
    <row r="24" spans="1:8" x14ac:dyDescent="0.25">
      <c r="A24" s="14" t="s">
        <v>43</v>
      </c>
      <c r="B24" s="15">
        <v>115</v>
      </c>
      <c r="C24" s="16">
        <v>8500000</v>
      </c>
      <c r="D24" s="16">
        <v>0</v>
      </c>
      <c r="E24" s="17">
        <f>SUMIFS(bank!$G:$G,bank!$I:$I,$A24,bank!$J:$J,1)</f>
        <v>0</v>
      </c>
      <c r="F24" s="17">
        <f>SUMIFS(bank!$G:$G,bank!$I:$I,$A24,bank!$J:$J,2)</f>
        <v>0</v>
      </c>
      <c r="G24" s="17" t="e">
        <f>#REF!-#REF!</f>
        <v>#REF!</v>
      </c>
      <c r="H24" s="18" t="e">
        <f>#REF!-#REF!</f>
        <v>#REF!</v>
      </c>
    </row>
    <row r="25" spans="1:8" x14ac:dyDescent="0.25">
      <c r="A25" s="14" t="s">
        <v>44</v>
      </c>
      <c r="B25" s="15">
        <v>115</v>
      </c>
      <c r="C25" s="16">
        <v>8500000</v>
      </c>
      <c r="D25" s="16">
        <v>0</v>
      </c>
      <c r="E25" s="17">
        <f>SUMIFS(bank!$G:$G,bank!$I:$I,$A25,bank!$J:$J,1)</f>
        <v>0</v>
      </c>
      <c r="F25" s="17">
        <f>SUMIFS(bank!$G:$G,bank!$I:$I,$A25,bank!$J:$J,2)</f>
        <v>0</v>
      </c>
      <c r="G25" s="17" t="e">
        <f>#REF!-#REF!</f>
        <v>#REF!</v>
      </c>
      <c r="H25" s="18" t="e">
        <f>#REF!-#REF!</f>
        <v>#REF!</v>
      </c>
    </row>
    <row r="26" spans="1:8" x14ac:dyDescent="0.25">
      <c r="A26" s="11" t="s">
        <v>45</v>
      </c>
      <c r="B26" s="15">
        <v>115</v>
      </c>
      <c r="C26" s="19">
        <v>8500000</v>
      </c>
      <c r="D26" s="19">
        <v>0</v>
      </c>
      <c r="E26" s="20">
        <f>SUMIFS(bank!$G:$G,bank!$I:$I,$A26,bank!$J:$J,1)</f>
        <v>0</v>
      </c>
      <c r="F26" s="20">
        <f>SUMIFS(bank!$G:$G,bank!$I:$I,$A26,bank!$J:$J,2)</f>
        <v>0</v>
      </c>
      <c r="G26" s="20" t="e">
        <f>#REF!-#REF!</f>
        <v>#REF!</v>
      </c>
      <c r="H26" s="21" t="e">
        <f>#REF!-#REF!</f>
        <v>#REF!</v>
      </c>
    </row>
    <row r="27" spans="1:8" x14ac:dyDescent="0.25">
      <c r="A27" s="14" t="s">
        <v>48</v>
      </c>
      <c r="B27" s="15">
        <v>115</v>
      </c>
      <c r="C27" s="16">
        <v>8500000</v>
      </c>
      <c r="D27" s="16">
        <v>0</v>
      </c>
      <c r="E27" s="17">
        <f>SUMIFS(bank!$G:$G,bank!$I:$I,$A27,bank!$J:$J,1)</f>
        <v>0</v>
      </c>
      <c r="F27" s="17">
        <f>SUMIFS(bank!$G:$G,bank!$I:$I,$A27,bank!$J:$J,2)</f>
        <v>0</v>
      </c>
      <c r="G27" s="17" t="e">
        <f>#REF!-#REF!</f>
        <v>#REF!</v>
      </c>
      <c r="H27" s="18" t="e">
        <f>#REF!-#REF!</f>
        <v>#REF!</v>
      </c>
    </row>
    <row r="28" spans="1:8" x14ac:dyDescent="0.25">
      <c r="A28" s="14" t="s">
        <v>49</v>
      </c>
      <c r="B28" s="15">
        <v>115</v>
      </c>
      <c r="C28" s="16">
        <v>8500000</v>
      </c>
      <c r="D28" s="16">
        <v>0</v>
      </c>
      <c r="E28" s="17">
        <f>SUMIFS(bank!$G:$G,bank!$I:$I,$A28,bank!$J:$J,1)</f>
        <v>0</v>
      </c>
      <c r="F28" s="17">
        <f>SUMIFS(bank!$G:$G,bank!$I:$I,$A28,bank!$J:$J,2)</f>
        <v>0</v>
      </c>
      <c r="G28" s="17" t="e">
        <f>#REF!-#REF!</f>
        <v>#REF!</v>
      </c>
      <c r="H28" s="18" t="e">
        <f>#REF!-#REF!</f>
        <v>#REF!</v>
      </c>
    </row>
    <row r="29" spans="1:8" x14ac:dyDescent="0.25">
      <c r="A29" s="14" t="s">
        <v>50</v>
      </c>
      <c r="B29" s="15">
        <v>115</v>
      </c>
      <c r="C29" s="16">
        <v>8500000</v>
      </c>
      <c r="D29" s="16">
        <v>0</v>
      </c>
      <c r="E29" s="17">
        <f>SUMIFS(bank!$G:$G,bank!$I:$I,$A29,bank!$J:$J,1)</f>
        <v>0</v>
      </c>
      <c r="F29" s="17">
        <f>SUMIFS(bank!$G:$G,bank!$I:$I,$A29,bank!$J:$J,2)</f>
        <v>0</v>
      </c>
      <c r="G29" s="17" t="e">
        <f>#REF!-#REF!</f>
        <v>#REF!</v>
      </c>
      <c r="H29" s="18" t="e">
        <f>#REF!-#REF!</f>
        <v>#REF!</v>
      </c>
    </row>
    <row r="30" spans="1:8" x14ac:dyDescent="0.25">
      <c r="A30" s="11" t="s">
        <v>51</v>
      </c>
      <c r="B30" s="15">
        <v>115</v>
      </c>
      <c r="C30" s="19">
        <v>8500000</v>
      </c>
      <c r="D30" s="19">
        <v>0</v>
      </c>
      <c r="E30" s="20">
        <f>SUMIFS(bank!$G:$G,bank!$I:$I,$A30,bank!$J:$J,1)</f>
        <v>0</v>
      </c>
      <c r="F30" s="20">
        <f>SUMIFS(bank!$G:$G,bank!$I:$I,$A30,bank!$J:$J,2)</f>
        <v>0</v>
      </c>
      <c r="G30" s="20" t="e">
        <f>#REF!-#REF!</f>
        <v>#REF!</v>
      </c>
      <c r="H30" s="21" t="e">
        <f>#REF!-#REF!</f>
        <v>#REF!</v>
      </c>
    </row>
    <row r="31" spans="1:8" x14ac:dyDescent="0.25">
      <c r="A31" s="11" t="s">
        <v>52</v>
      </c>
      <c r="B31" s="15">
        <v>115</v>
      </c>
      <c r="C31" s="19">
        <v>8500000</v>
      </c>
      <c r="D31" s="19">
        <v>0</v>
      </c>
      <c r="E31" s="20">
        <f>SUMIFS(bank!$G:$G,bank!$I:$I,$A31,bank!$J:$J,1)</f>
        <v>0</v>
      </c>
      <c r="F31" s="20">
        <f>SUMIFS(bank!$G:$G,bank!$I:$I,$A31,bank!$J:$J,2)</f>
        <v>0</v>
      </c>
      <c r="G31" s="20" t="e">
        <f>#REF!-#REF!</f>
        <v>#REF!</v>
      </c>
      <c r="H31" s="21" t="e">
        <f>#REF!-#REF!</f>
        <v>#REF!</v>
      </c>
    </row>
    <row r="32" spans="1:8" x14ac:dyDescent="0.25">
      <c r="A32" s="14" t="s">
        <v>53</v>
      </c>
      <c r="B32" s="15">
        <v>115</v>
      </c>
      <c r="C32" s="16">
        <v>8500000</v>
      </c>
      <c r="D32" s="16">
        <v>0</v>
      </c>
      <c r="E32" s="17">
        <f>SUMIFS(bank!$G:$G,bank!$I:$I,$A32,bank!$J:$J,1)</f>
        <v>0</v>
      </c>
      <c r="F32" s="17">
        <f>SUMIFS(bank!$G:$G,bank!$I:$I,$A32,bank!$J:$J,2)</f>
        <v>0</v>
      </c>
      <c r="G32" s="17" t="e">
        <f>#REF!-#REF!</f>
        <v>#REF!</v>
      </c>
      <c r="H32" s="18" t="e">
        <f>#REF!-#REF!</f>
        <v>#REF!</v>
      </c>
    </row>
    <row r="33" spans="1:8" x14ac:dyDescent="0.25">
      <c r="A33" s="11" t="s">
        <v>54</v>
      </c>
      <c r="B33" s="15">
        <v>115</v>
      </c>
      <c r="C33" s="19">
        <v>8500000</v>
      </c>
      <c r="D33" s="19">
        <v>0</v>
      </c>
      <c r="E33" s="20">
        <f>SUMIFS(bank!$G:$G,bank!$I:$I,$A33,bank!$J:$J,1)</f>
        <v>0</v>
      </c>
      <c r="F33" s="20">
        <f>SUMIFS(bank!$G:$G,bank!$I:$I,$A33,bank!$J:$J,2)</f>
        <v>0</v>
      </c>
      <c r="G33" s="20" t="e">
        <f>#REF!-#REF!</f>
        <v>#REF!</v>
      </c>
      <c r="H33" s="21" t="e">
        <f>#REF!-#REF!</f>
        <v>#REF!</v>
      </c>
    </row>
    <row r="34" spans="1:8" x14ac:dyDescent="0.25">
      <c r="A34" s="14" t="s">
        <v>55</v>
      </c>
      <c r="B34" s="15">
        <v>115</v>
      </c>
      <c r="C34" s="16">
        <v>8500000</v>
      </c>
      <c r="D34" s="16">
        <v>0</v>
      </c>
      <c r="E34" s="17">
        <f>SUMIFS(bank!$G:$G,bank!$I:$I,$A34,bank!$J:$J,1)</f>
        <v>0</v>
      </c>
      <c r="F34" s="17">
        <f>SUMIFS(bank!$G:$G,bank!$I:$I,$A34,bank!$J:$J,2)</f>
        <v>0</v>
      </c>
      <c r="G34" s="17" t="e">
        <f>#REF!-#REF!</f>
        <v>#REF!</v>
      </c>
      <c r="H34" s="18" t="e">
        <f>#REF!-#REF!</f>
        <v>#REF!</v>
      </c>
    </row>
    <row r="35" spans="1:8" x14ac:dyDescent="0.25">
      <c r="A35" s="11" t="s">
        <v>56</v>
      </c>
      <c r="B35" s="15">
        <v>115</v>
      </c>
      <c r="C35" s="19">
        <v>8500000</v>
      </c>
      <c r="D35" s="19">
        <v>0</v>
      </c>
      <c r="E35" s="20">
        <f>SUMIFS(bank!$G:$G,bank!$I:$I,$A35,bank!$J:$J,1)</f>
        <v>0</v>
      </c>
      <c r="F35" s="20">
        <f>SUMIFS(bank!$G:$G,bank!$I:$I,$A35,bank!$J:$J,2)</f>
        <v>0</v>
      </c>
      <c r="G35" s="20" t="e">
        <f>#REF!-#REF!</f>
        <v>#REF!</v>
      </c>
      <c r="H35" s="21" t="e">
        <f>#REF!-#REF!</f>
        <v>#REF!</v>
      </c>
    </row>
    <row r="36" spans="1:8" x14ac:dyDescent="0.25">
      <c r="A36" s="11" t="s">
        <v>57</v>
      </c>
      <c r="B36" s="15">
        <v>115</v>
      </c>
      <c r="C36" s="19">
        <v>8500000</v>
      </c>
      <c r="D36" s="19">
        <v>0</v>
      </c>
      <c r="E36" s="20">
        <f>SUMIFS(bank!$G:$G,bank!$I:$I,$A36,bank!$J:$J,1)</f>
        <v>0</v>
      </c>
      <c r="F36" s="20">
        <f>SUMIFS(bank!$G:$G,bank!$I:$I,$A36,bank!$J:$J,2)</f>
        <v>0</v>
      </c>
      <c r="G36" s="20" t="e">
        <f>#REF!-#REF!</f>
        <v>#REF!</v>
      </c>
      <c r="H36" s="21" t="e">
        <f>#REF!-#REF!</f>
        <v>#REF!</v>
      </c>
    </row>
    <row r="37" spans="1:8" x14ac:dyDescent="0.25">
      <c r="A37" s="14" t="s">
        <v>90</v>
      </c>
      <c r="B37" s="15">
        <v>116</v>
      </c>
      <c r="C37" s="16">
        <v>8500000</v>
      </c>
      <c r="D37" s="16">
        <v>0</v>
      </c>
      <c r="E37" s="17">
        <f>SUMIFS(bank!$G:$G,bank!$I:$I,$A37,bank!$J:$J,1)</f>
        <v>0</v>
      </c>
      <c r="F37" s="17">
        <f>SUMIFS(bank!$G:$G,bank!$I:$I,$A37,bank!$J:$J,2)</f>
        <v>0</v>
      </c>
      <c r="G37" s="17" t="e">
        <f>#REF!-#REF!</f>
        <v>#REF!</v>
      </c>
      <c r="H37" s="18" t="e">
        <f>#REF!-#REF!</f>
        <v>#REF!</v>
      </c>
    </row>
    <row r="38" spans="1:8" x14ac:dyDescent="0.25">
      <c r="A38" s="14" t="s">
        <v>59</v>
      </c>
      <c r="B38" s="15">
        <v>116</v>
      </c>
      <c r="C38" s="16">
        <v>8500000</v>
      </c>
      <c r="D38" s="16">
        <v>0</v>
      </c>
      <c r="E38" s="17">
        <f>SUMIFS(bank!$G:$G,bank!$I:$I,$A38,bank!$J:$J,1)</f>
        <v>0</v>
      </c>
      <c r="F38" s="17">
        <f>SUMIFS(bank!$G:$G,bank!$I:$I,$A38,bank!$J:$J,2)</f>
        <v>0</v>
      </c>
      <c r="G38" s="17" t="e">
        <f>#REF!-#REF!</f>
        <v>#REF!</v>
      </c>
      <c r="H38" s="18" t="e">
        <f>#REF!-#REF!</f>
        <v>#REF!</v>
      </c>
    </row>
    <row r="39" spans="1:8" x14ac:dyDescent="0.25">
      <c r="A39" s="11" t="s">
        <v>85</v>
      </c>
      <c r="B39" s="15">
        <v>116</v>
      </c>
      <c r="C39" s="19">
        <v>0</v>
      </c>
      <c r="D39" s="19">
        <v>8500000</v>
      </c>
      <c r="E39" s="20">
        <f>SUMIFS(bank!$G:$G,bank!$I:$I,$A39,bank!$J:$J,1)</f>
        <v>0</v>
      </c>
      <c r="F39" s="20">
        <f>SUMIFS(bank!$G:$G,bank!$I:$I,$A39,bank!$J:$J,2)</f>
        <v>0</v>
      </c>
      <c r="G39" s="20" t="e">
        <f>#REF!-#REF!</f>
        <v>#REF!</v>
      </c>
      <c r="H39" s="21" t="e">
        <f>#REF!-#REF!</f>
        <v>#REF!</v>
      </c>
    </row>
    <row r="40" spans="1:8" x14ac:dyDescent="0.25">
      <c r="A40" s="11" t="s">
        <v>60</v>
      </c>
      <c r="B40" s="15">
        <v>116</v>
      </c>
      <c r="C40" s="19">
        <v>8500000</v>
      </c>
      <c r="D40" s="19">
        <v>0</v>
      </c>
      <c r="E40" s="20">
        <f>SUMIFS(bank!$G:$G,bank!$I:$I,$A40,bank!$J:$J,1)</f>
        <v>0</v>
      </c>
      <c r="F40" s="20">
        <f>SUMIFS(bank!$G:$G,bank!$I:$I,$A40,bank!$J:$J,2)</f>
        <v>0</v>
      </c>
      <c r="G40" s="20" t="e">
        <f>#REF!-#REF!</f>
        <v>#REF!</v>
      </c>
      <c r="H40" s="21" t="e">
        <f>#REF!-#REF!</f>
        <v>#REF!</v>
      </c>
    </row>
    <row r="41" spans="1:8" x14ac:dyDescent="0.25">
      <c r="A41" s="14" t="s">
        <v>61</v>
      </c>
      <c r="B41" s="15">
        <v>116</v>
      </c>
      <c r="C41" s="16">
        <v>8500000</v>
      </c>
      <c r="D41" s="16">
        <v>0</v>
      </c>
      <c r="E41" s="17">
        <f>SUMIFS(bank!$G:$G,bank!$I:$I,$A41,bank!$J:$J,1)</f>
        <v>0</v>
      </c>
      <c r="F41" s="17">
        <f>SUMIFS(bank!$G:$G,bank!$I:$I,$A41,bank!$J:$J,2)</f>
        <v>0</v>
      </c>
      <c r="G41" s="17" t="e">
        <f>#REF!-#REF!</f>
        <v>#REF!</v>
      </c>
      <c r="H41" s="18" t="e">
        <f>#REF!-#REF!</f>
        <v>#REF!</v>
      </c>
    </row>
    <row r="42" spans="1:8" x14ac:dyDescent="0.25">
      <c r="A42" s="11" t="s">
        <v>62</v>
      </c>
      <c r="B42" s="15">
        <v>116</v>
      </c>
      <c r="C42" s="19">
        <v>8500000</v>
      </c>
      <c r="D42" s="19">
        <v>0</v>
      </c>
      <c r="E42" s="20">
        <f>SUMIFS(bank!$G:$G,bank!$I:$I,$A42,bank!$J:$J,1)</f>
        <v>0</v>
      </c>
      <c r="F42" s="20">
        <f>SUMIFS(bank!$G:$G,bank!$I:$I,$A42,bank!$J:$J,2)</f>
        <v>0</v>
      </c>
      <c r="G42" s="20" t="e">
        <f>#REF!-#REF!</f>
        <v>#REF!</v>
      </c>
      <c r="H42" s="21" t="e">
        <f>#REF!-#REF!</f>
        <v>#REF!</v>
      </c>
    </row>
    <row r="43" spans="1:8" x14ac:dyDescent="0.25">
      <c r="A43" s="11" t="s">
        <v>63</v>
      </c>
      <c r="B43" s="15">
        <v>116</v>
      </c>
      <c r="C43" s="19">
        <v>8500000</v>
      </c>
      <c r="D43" s="19">
        <v>0</v>
      </c>
      <c r="E43" s="20">
        <f>SUMIFS(bank!$G:$G,bank!$I:$I,$A43,bank!$J:$J,1)</f>
        <v>0</v>
      </c>
      <c r="F43" s="20">
        <f>SUMIFS(bank!$G:$G,bank!$I:$I,$A43,bank!$J:$J,2)</f>
        <v>0</v>
      </c>
      <c r="G43" s="20" t="e">
        <f>#REF!-#REF!</f>
        <v>#REF!</v>
      </c>
      <c r="H43" s="21" t="e">
        <f>#REF!-#REF!</f>
        <v>#REF!</v>
      </c>
    </row>
    <row r="44" spans="1:8" x14ac:dyDescent="0.25">
      <c r="A44" s="14" t="s">
        <v>64</v>
      </c>
      <c r="B44" s="15">
        <v>116</v>
      </c>
      <c r="C44" s="16">
        <v>8500000</v>
      </c>
      <c r="D44" s="16">
        <v>0</v>
      </c>
      <c r="E44" s="17">
        <f>SUMIFS(bank!$G:$G,bank!$I:$I,$A44,bank!$J:$J,1)</f>
        <v>0</v>
      </c>
      <c r="F44" s="17">
        <f>SUMIFS(bank!$G:$G,bank!$I:$I,$A44,bank!$J:$J,2)</f>
        <v>0</v>
      </c>
      <c r="G44" s="17" t="e">
        <f>#REF!-#REF!</f>
        <v>#REF!</v>
      </c>
      <c r="H44" s="18" t="e">
        <f>#REF!-#REF!</f>
        <v>#REF!</v>
      </c>
    </row>
    <row r="45" spans="1:8" x14ac:dyDescent="0.25">
      <c r="A45" s="11" t="s">
        <v>68</v>
      </c>
      <c r="B45" s="15">
        <v>116</v>
      </c>
      <c r="C45" s="19">
        <v>8500000</v>
      </c>
      <c r="D45" s="19">
        <v>0</v>
      </c>
      <c r="E45" s="20">
        <f>SUMIFS(bank!$G:$G,bank!$I:$I,$A45,bank!$J:$J,1)</f>
        <v>0</v>
      </c>
      <c r="F45" s="20">
        <f>SUMIFS(bank!$G:$G,bank!$I:$I,$A45,bank!$J:$J,2)</f>
        <v>0</v>
      </c>
      <c r="G45" s="20" t="e">
        <f>#REF!-#REF!</f>
        <v>#REF!</v>
      </c>
      <c r="H45" s="21" t="e">
        <f>#REF!-#REF!</f>
        <v>#REF!</v>
      </c>
    </row>
    <row r="46" spans="1:8" x14ac:dyDescent="0.25">
      <c r="A46" s="11" t="s">
        <v>65</v>
      </c>
      <c r="B46" s="15">
        <v>116</v>
      </c>
      <c r="C46" s="19">
        <v>8500000</v>
      </c>
      <c r="D46" s="19">
        <v>0</v>
      </c>
      <c r="E46" s="20">
        <f>SUMIFS(bank!$G:$G,bank!$I:$I,$A46,bank!$J:$J,1)</f>
        <v>6375000</v>
      </c>
      <c r="F46" s="20">
        <f>SUMIFS(bank!$G:$G,bank!$I:$I,$A46,bank!$J:$J,2)</f>
        <v>0</v>
      </c>
      <c r="G46" s="20" t="e">
        <f>#REF!-#REF!</f>
        <v>#REF!</v>
      </c>
      <c r="H46" s="21" t="e">
        <f>#REF!-#REF!</f>
        <v>#REF!</v>
      </c>
    </row>
    <row r="47" spans="1:8" x14ac:dyDescent="0.25">
      <c r="A47" s="11" t="s">
        <v>66</v>
      </c>
      <c r="B47" s="15">
        <v>116</v>
      </c>
      <c r="C47" s="19">
        <v>8500000</v>
      </c>
      <c r="D47" s="19">
        <v>0</v>
      </c>
      <c r="E47" s="20">
        <f>SUMIFS(bank!$G:$G,bank!$I:$I,$A47,bank!$J:$J,1)</f>
        <v>0</v>
      </c>
      <c r="F47" s="20">
        <f>SUMIFS(bank!$G:$G,bank!$I:$I,$A47,bank!$J:$J,2)</f>
        <v>0</v>
      </c>
      <c r="G47" s="20" t="e">
        <f>#REF!-#REF!</f>
        <v>#REF!</v>
      </c>
      <c r="H47" s="21" t="e">
        <f>#REF!-#REF!</f>
        <v>#REF!</v>
      </c>
    </row>
    <row r="50" spans="1:8" x14ac:dyDescent="0.25">
      <c r="A50" s="14" t="s">
        <v>121</v>
      </c>
      <c r="B50" s="15">
        <v>202</v>
      </c>
      <c r="C50" s="16">
        <v>8500000</v>
      </c>
      <c r="D50" s="16">
        <v>0</v>
      </c>
      <c r="E50" s="17">
        <f>SUMIFS(bank!$G:$G,bank!$I:$I,$A50,bank!$J:$J,1)</f>
        <v>0</v>
      </c>
      <c r="F50" s="17">
        <f>SUMIFS(bank!$G:$G,bank!$I:$I,$A50,bank!$J:$J,2)</f>
        <v>0</v>
      </c>
      <c r="G50" s="17" t="e">
        <f>#REF!-#REF!</f>
        <v>#REF!</v>
      </c>
      <c r="H50" s="18" t="e">
        <f>#REF!-#REF!</f>
        <v>#REF!</v>
      </c>
    </row>
    <row r="51" spans="1:8" x14ac:dyDescent="0.25">
      <c r="A51" s="14" t="s">
        <v>187</v>
      </c>
      <c r="B51" s="15">
        <v>202</v>
      </c>
      <c r="C51" s="16">
        <v>8500000</v>
      </c>
      <c r="D51" s="16">
        <v>0</v>
      </c>
      <c r="E51" s="17">
        <f>SUMIFS(bank!$G:$G,bank!$I:$I,$A51,bank!$J:$J,1)</f>
        <v>0</v>
      </c>
      <c r="F51" s="17">
        <f>SUMIFS(bank!$G:$G,bank!$I:$I,$A51,bank!$J:$J,2)</f>
        <v>0</v>
      </c>
      <c r="G51" s="17" t="e">
        <f>#REF!-#REF!</f>
        <v>#REF!</v>
      </c>
      <c r="H51" s="18" t="e">
        <f>#REF!-#REF!</f>
        <v>#REF!</v>
      </c>
    </row>
    <row r="52" spans="1:8" x14ac:dyDescent="0.25">
      <c r="A52" s="11" t="s">
        <v>117</v>
      </c>
      <c r="B52" s="15">
        <v>202</v>
      </c>
      <c r="C52" s="19">
        <v>8500000</v>
      </c>
      <c r="D52" s="19">
        <v>0</v>
      </c>
      <c r="E52" s="20">
        <f>SUMIFS(bank!$G:$G,bank!$I:$I,$A52,bank!$J:$J,1)</f>
        <v>0</v>
      </c>
      <c r="F52" s="20">
        <f>SUMIFS(bank!$G:$G,bank!$I:$I,$A52,bank!$J:$J,2)</f>
        <v>0</v>
      </c>
      <c r="G52" s="20" t="e">
        <f>#REF!-#REF!</f>
        <v>#REF!</v>
      </c>
      <c r="H52" s="21" t="e">
        <f>#REF!-#REF!</f>
        <v>#REF!</v>
      </c>
    </row>
    <row r="53" spans="1:8" x14ac:dyDescent="0.25">
      <c r="A53" s="14" t="s">
        <v>122</v>
      </c>
      <c r="B53" s="15">
        <v>202</v>
      </c>
      <c r="C53" s="16">
        <v>8500000</v>
      </c>
      <c r="D53" s="16">
        <v>0</v>
      </c>
      <c r="E53" s="17">
        <f>SUMIFS(bank!$G:$G,bank!$I:$I,$A53,bank!$J:$J,1)</f>
        <v>0</v>
      </c>
      <c r="F53" s="17">
        <f>SUMIFS(bank!$G:$G,bank!$I:$I,$A53,bank!$J:$J,2)</f>
        <v>0</v>
      </c>
      <c r="G53" s="17" t="e">
        <f>#REF!-#REF!</f>
        <v>#REF!</v>
      </c>
      <c r="H53" s="18" t="e">
        <f>#REF!-#REF!</f>
        <v>#REF!</v>
      </c>
    </row>
    <row r="54" spans="1:8" x14ac:dyDescent="0.25">
      <c r="A54" s="11" t="s">
        <v>136</v>
      </c>
      <c r="B54" s="15">
        <v>203</v>
      </c>
      <c r="C54" s="19">
        <v>8500000</v>
      </c>
      <c r="D54" s="19">
        <v>0</v>
      </c>
      <c r="E54" s="20">
        <f>SUMIFS(bank!$G:$G,bank!$I:$I,$A54,bank!$J:$J,1)</f>
        <v>0</v>
      </c>
      <c r="F54" s="20">
        <f>SUMIFS(bank!$G:$G,bank!$I:$I,$A54,bank!$J:$J,2)</f>
        <v>0</v>
      </c>
      <c r="G54" s="20" t="e">
        <f>#REF!-#REF!</f>
        <v>#REF!</v>
      </c>
      <c r="H54" s="21" t="e">
        <f>#REF!-#REF!</f>
        <v>#REF!</v>
      </c>
    </row>
    <row r="55" spans="1:8" x14ac:dyDescent="0.25">
      <c r="A55" s="14" t="s">
        <v>137</v>
      </c>
      <c r="B55" s="15">
        <v>203</v>
      </c>
      <c r="C55" s="16">
        <v>8500000</v>
      </c>
      <c r="D55" s="16">
        <v>0</v>
      </c>
      <c r="E55" s="17">
        <f>SUMIFS(bank!$G:$G,bank!$I:$I,$A55,bank!$J:$J,1)</f>
        <v>0</v>
      </c>
      <c r="F55" s="17">
        <f>SUMIFS(bank!$G:$G,bank!$I:$I,$A55,bank!$J:$J,2)</f>
        <v>0</v>
      </c>
      <c r="G55" s="17" t="e">
        <f>#REF!-#REF!</f>
        <v>#REF!</v>
      </c>
      <c r="H55" s="18" t="e">
        <f>#REF!-#REF!</f>
        <v>#REF!</v>
      </c>
    </row>
    <row r="56" spans="1:8" x14ac:dyDescent="0.25">
      <c r="A56" s="11" t="s">
        <v>140</v>
      </c>
      <c r="B56" s="15">
        <v>204</v>
      </c>
      <c r="C56" s="19">
        <v>8500000</v>
      </c>
      <c r="D56" s="19">
        <v>0</v>
      </c>
      <c r="E56" s="20">
        <f>SUMIFS(bank!$G:$G,bank!$I:$I,$A56,bank!$J:$J,1)</f>
        <v>0</v>
      </c>
      <c r="F56" s="20">
        <f>SUMIFS(bank!$G:$G,bank!$I:$I,$A56,bank!$J:$J,2)</f>
        <v>0</v>
      </c>
      <c r="G56" s="20" t="e">
        <f>#REF!-#REF!</f>
        <v>#REF!</v>
      </c>
      <c r="H56" s="21" t="e">
        <f>#REF!-#REF!</f>
        <v>#REF!</v>
      </c>
    </row>
    <row r="57" spans="1:8" x14ac:dyDescent="0.25">
      <c r="A57" s="14" t="s">
        <v>184</v>
      </c>
      <c r="B57" s="15">
        <v>204</v>
      </c>
      <c r="C57" s="16">
        <v>8500000</v>
      </c>
      <c r="D57" s="16">
        <v>0</v>
      </c>
      <c r="E57" s="17">
        <f>SUMIFS(bank!$G:$G,bank!$I:$I,$A57,bank!$J:$J,1)</f>
        <v>0</v>
      </c>
      <c r="F57" s="17">
        <f>SUMIFS(bank!$G:$G,bank!$I:$I,$A57,bank!$J:$J,2)</f>
        <v>0</v>
      </c>
      <c r="G57" s="17" t="e">
        <f>#REF!-#REF!</f>
        <v>#REF!</v>
      </c>
      <c r="H57" s="18" t="e">
        <f>#REF!-#REF!</f>
        <v>#REF!</v>
      </c>
    </row>
    <row r="58" spans="1:8" x14ac:dyDescent="0.25">
      <c r="A58" s="11" t="s">
        <v>170</v>
      </c>
      <c r="B58" s="15">
        <v>205</v>
      </c>
      <c r="C58" s="19">
        <v>8500000</v>
      </c>
      <c r="D58" s="19">
        <v>0</v>
      </c>
      <c r="E58" s="20">
        <f>SUMIFS(bank!$G:$G,bank!$I:$I,$A58,bank!$J:$J,1)</f>
        <v>0</v>
      </c>
      <c r="F58" s="20">
        <f>SUMIFS(bank!$G:$G,bank!$I:$I,$A58,bank!$J:$J,2)</f>
        <v>0</v>
      </c>
      <c r="G58" s="20" t="e">
        <f>#REF!-#REF!</f>
        <v>#REF!</v>
      </c>
      <c r="H58" s="21" t="e">
        <f>#REF!-#REF!</f>
        <v>#REF!</v>
      </c>
    </row>
    <row r="59" spans="1:8" x14ac:dyDescent="0.25">
      <c r="A59" s="14" t="s">
        <v>181</v>
      </c>
      <c r="B59" s="15">
        <v>205</v>
      </c>
      <c r="C59" s="16">
        <v>8500000</v>
      </c>
      <c r="D59" s="16">
        <v>0</v>
      </c>
      <c r="E59" s="17">
        <f>SUMIFS(bank!$G:$G,bank!$I:$I,$A59,bank!$J:$J,1)</f>
        <v>0</v>
      </c>
      <c r="F59" s="17">
        <f>SUMIFS(bank!$G:$G,bank!$I:$I,$A59,bank!$J:$J,2)</f>
        <v>0</v>
      </c>
      <c r="G59" s="17" t="e">
        <f>#REF!-#REF!</f>
        <v>#REF!</v>
      </c>
      <c r="H59" s="18" t="e">
        <f>#REF!-#REF!</f>
        <v>#REF!</v>
      </c>
    </row>
    <row r="60" spans="1:8" x14ac:dyDescent="0.25">
      <c r="A60" s="14" t="s">
        <v>189</v>
      </c>
      <c r="B60" s="15">
        <v>206</v>
      </c>
      <c r="C60" s="16">
        <v>8500000</v>
      </c>
      <c r="D60" s="16">
        <v>0</v>
      </c>
      <c r="E60" s="17">
        <f>SUMIFS(bank!$G:$G,bank!$I:$I,$A60,bank!$J:$J,1)</f>
        <v>0</v>
      </c>
      <c r="F60" s="17">
        <f>SUMIFS(bank!$G:$G,bank!$I:$I,$A60,bank!$J:$J,2)</f>
        <v>3700000</v>
      </c>
      <c r="G60" s="17" t="e">
        <f>#REF!-#REF!</f>
        <v>#REF!</v>
      </c>
      <c r="H60" s="18" t="e">
        <f>#REF!-#REF!</f>
        <v>#REF!</v>
      </c>
    </row>
    <row r="61" spans="1:8" x14ac:dyDescent="0.25">
      <c r="A61" s="11" t="s">
        <v>186</v>
      </c>
      <c r="B61" s="15">
        <v>206</v>
      </c>
      <c r="C61" s="19">
        <v>8500000</v>
      </c>
      <c r="D61" s="19">
        <v>0</v>
      </c>
      <c r="E61" s="20">
        <f>SUMIFS(bank!$G:$G,bank!$I:$I,$A61,bank!$J:$J,1)</f>
        <v>0</v>
      </c>
      <c r="F61" s="20">
        <f>SUMIFS(bank!$G:$G,bank!$I:$I,$A61,bank!$J:$J,2)</f>
        <v>0</v>
      </c>
      <c r="G61" s="20" t="e">
        <f>#REF!-#REF!</f>
        <v>#REF!</v>
      </c>
      <c r="H61" s="21" t="e">
        <f>#REF!-#REF!</f>
        <v>#REF!</v>
      </c>
    </row>
    <row r="62" spans="1:8" x14ac:dyDescent="0.25">
      <c r="A62" s="14" t="s">
        <v>185</v>
      </c>
      <c r="B62" s="15">
        <v>206</v>
      </c>
      <c r="C62" s="16">
        <v>8500000</v>
      </c>
      <c r="D62" s="16">
        <v>0</v>
      </c>
      <c r="E62" s="17">
        <f>SUMIFS(bank!$G:$G,bank!$I:$I,$A62,bank!$J:$J,1)</f>
        <v>0</v>
      </c>
      <c r="F62" s="17">
        <f>SUMIFS(bank!$G:$G,bank!$I:$I,$A62,bank!$J:$J,2)</f>
        <v>0</v>
      </c>
      <c r="G62" s="17" t="e">
        <f>#REF!-#REF!</f>
        <v>#REF!</v>
      </c>
      <c r="H62" s="18" t="e">
        <f>#REF!-#REF!</f>
        <v>#REF!</v>
      </c>
    </row>
    <row r="63" spans="1:8" x14ac:dyDescent="0.25">
      <c r="A63" s="13" t="s">
        <v>190</v>
      </c>
      <c r="B63" s="15">
        <v>206</v>
      </c>
      <c r="C63" s="23">
        <v>8500000</v>
      </c>
      <c r="D63" s="23">
        <v>8500000</v>
      </c>
      <c r="E63" s="20">
        <f>SUMIFS(bank!$G:$G,bank!$I:$I,$A63,bank!$J:$J,1)</f>
        <v>0</v>
      </c>
      <c r="F63" s="20">
        <f>SUMIFS(bank!$G:$G,bank!$I:$I,$A63,bank!$J:$J,2)</f>
        <v>0</v>
      </c>
      <c r="G63" s="20" t="e">
        <f>#REF!-#REF!</f>
        <v>#REF!</v>
      </c>
      <c r="H63" s="21" t="e">
        <f>#REF!-#REF!</f>
        <v>#REF!</v>
      </c>
    </row>
  </sheetData>
  <conditionalFormatting sqref="A1">
    <cfRule type="duplicateValues" dxfId="173" priority="172"/>
    <cfRule type="duplicateValues" dxfId="172" priority="173"/>
    <cfRule type="duplicateValues" dxfId="171" priority="174"/>
  </conditionalFormatting>
  <conditionalFormatting sqref="A2">
    <cfRule type="duplicateValues" dxfId="170" priority="169"/>
    <cfRule type="duplicateValues" dxfId="169" priority="170"/>
    <cfRule type="duplicateValues" dxfId="168" priority="171"/>
  </conditionalFormatting>
  <conditionalFormatting sqref="A3">
    <cfRule type="duplicateValues" dxfId="167" priority="166"/>
    <cfRule type="duplicateValues" dxfId="166" priority="167"/>
    <cfRule type="duplicateValues" dxfId="165" priority="168"/>
  </conditionalFormatting>
  <conditionalFormatting sqref="A4">
    <cfRule type="duplicateValues" dxfId="164" priority="163"/>
    <cfRule type="duplicateValues" dxfId="163" priority="164"/>
    <cfRule type="duplicateValues" dxfId="162" priority="165"/>
  </conditionalFormatting>
  <conditionalFormatting sqref="A5">
    <cfRule type="duplicateValues" dxfId="161" priority="160"/>
    <cfRule type="duplicateValues" dxfId="160" priority="161"/>
    <cfRule type="duplicateValues" dxfId="159" priority="162"/>
  </conditionalFormatting>
  <conditionalFormatting sqref="A6">
    <cfRule type="duplicateValues" dxfId="158" priority="157"/>
    <cfRule type="duplicateValues" dxfId="157" priority="158"/>
    <cfRule type="duplicateValues" dxfId="156" priority="159"/>
  </conditionalFormatting>
  <conditionalFormatting sqref="A7">
    <cfRule type="duplicateValues" dxfId="155" priority="154"/>
    <cfRule type="duplicateValues" dxfId="154" priority="155"/>
    <cfRule type="duplicateValues" dxfId="153" priority="156"/>
  </conditionalFormatting>
  <conditionalFormatting sqref="A8">
    <cfRule type="duplicateValues" dxfId="152" priority="151"/>
    <cfRule type="duplicateValues" dxfId="151" priority="152"/>
    <cfRule type="duplicateValues" dxfId="150" priority="153"/>
  </conditionalFormatting>
  <conditionalFormatting sqref="A9">
    <cfRule type="duplicateValues" dxfId="149" priority="148"/>
    <cfRule type="duplicateValues" dxfId="148" priority="149"/>
    <cfRule type="duplicateValues" dxfId="147" priority="150"/>
  </conditionalFormatting>
  <conditionalFormatting sqref="A10">
    <cfRule type="duplicateValues" dxfId="146" priority="145"/>
    <cfRule type="duplicateValues" dxfId="145" priority="146"/>
    <cfRule type="duplicateValues" dxfId="144" priority="147"/>
  </conditionalFormatting>
  <conditionalFormatting sqref="A11">
    <cfRule type="duplicateValues" dxfId="143" priority="142"/>
    <cfRule type="duplicateValues" dxfId="142" priority="143"/>
    <cfRule type="duplicateValues" dxfId="141" priority="144"/>
  </conditionalFormatting>
  <conditionalFormatting sqref="A12">
    <cfRule type="duplicateValues" dxfId="140" priority="139"/>
    <cfRule type="duplicateValues" dxfId="139" priority="140"/>
    <cfRule type="duplicateValues" dxfId="138" priority="141"/>
  </conditionalFormatting>
  <conditionalFormatting sqref="A13">
    <cfRule type="duplicateValues" dxfId="137" priority="136"/>
    <cfRule type="duplicateValues" dxfId="136" priority="137"/>
    <cfRule type="duplicateValues" dxfId="135" priority="138"/>
  </conditionalFormatting>
  <conditionalFormatting sqref="A14">
    <cfRule type="duplicateValues" dxfId="134" priority="133"/>
    <cfRule type="duplicateValues" dxfId="133" priority="134"/>
    <cfRule type="duplicateValues" dxfId="132" priority="135"/>
  </conditionalFormatting>
  <conditionalFormatting sqref="A15">
    <cfRule type="duplicateValues" dxfId="131" priority="130"/>
    <cfRule type="duplicateValues" dxfId="130" priority="131"/>
    <cfRule type="duplicateValues" dxfId="129" priority="132"/>
  </conditionalFormatting>
  <conditionalFormatting sqref="A16">
    <cfRule type="duplicateValues" dxfId="128" priority="127"/>
    <cfRule type="duplicateValues" dxfId="127" priority="128"/>
    <cfRule type="duplicateValues" dxfId="126" priority="129"/>
  </conditionalFormatting>
  <conditionalFormatting sqref="A17">
    <cfRule type="duplicateValues" dxfId="125" priority="124"/>
    <cfRule type="duplicateValues" dxfId="124" priority="125"/>
    <cfRule type="duplicateValues" dxfId="123" priority="126"/>
  </conditionalFormatting>
  <conditionalFormatting sqref="A18">
    <cfRule type="duplicateValues" dxfId="122" priority="121"/>
    <cfRule type="duplicateValues" dxfId="121" priority="122"/>
    <cfRule type="duplicateValues" dxfId="120" priority="123"/>
  </conditionalFormatting>
  <conditionalFormatting sqref="A19">
    <cfRule type="duplicateValues" dxfId="119" priority="118"/>
    <cfRule type="duplicateValues" dxfId="118" priority="119"/>
    <cfRule type="duplicateValues" dxfId="117" priority="120"/>
  </conditionalFormatting>
  <conditionalFormatting sqref="A20">
    <cfRule type="duplicateValues" dxfId="116" priority="115"/>
    <cfRule type="duplicateValues" dxfId="115" priority="116"/>
    <cfRule type="duplicateValues" dxfId="114" priority="117"/>
  </conditionalFormatting>
  <conditionalFormatting sqref="A21">
    <cfRule type="duplicateValues" dxfId="113" priority="112"/>
    <cfRule type="duplicateValues" dxfId="112" priority="113"/>
    <cfRule type="duplicateValues" dxfId="111" priority="114"/>
  </conditionalFormatting>
  <conditionalFormatting sqref="A22">
    <cfRule type="duplicateValues" dxfId="110" priority="109"/>
    <cfRule type="duplicateValues" dxfId="109" priority="110"/>
    <cfRule type="duplicateValues" dxfId="108" priority="111"/>
  </conditionalFormatting>
  <conditionalFormatting sqref="A23">
    <cfRule type="duplicateValues" dxfId="107" priority="106"/>
    <cfRule type="duplicateValues" dxfId="106" priority="107"/>
    <cfRule type="duplicateValues" dxfId="105" priority="108"/>
  </conditionalFormatting>
  <conditionalFormatting sqref="A24">
    <cfRule type="duplicateValues" dxfId="104" priority="103"/>
    <cfRule type="duplicateValues" dxfId="103" priority="104"/>
    <cfRule type="duplicateValues" dxfId="102" priority="105"/>
  </conditionalFormatting>
  <conditionalFormatting sqref="A25">
    <cfRule type="duplicateValues" dxfId="101" priority="100"/>
    <cfRule type="duplicateValues" dxfId="100" priority="101"/>
    <cfRule type="duplicateValues" dxfId="99" priority="102"/>
  </conditionalFormatting>
  <conditionalFormatting sqref="A26">
    <cfRule type="duplicateValues" dxfId="98" priority="97"/>
    <cfRule type="duplicateValues" dxfId="97" priority="98"/>
    <cfRule type="duplicateValues" dxfId="96" priority="99"/>
  </conditionalFormatting>
  <conditionalFormatting sqref="A27">
    <cfRule type="duplicateValues" dxfId="95" priority="94"/>
    <cfRule type="duplicateValues" dxfId="94" priority="95"/>
    <cfRule type="duplicateValues" dxfId="93" priority="96"/>
  </conditionalFormatting>
  <conditionalFormatting sqref="A28">
    <cfRule type="duplicateValues" dxfId="92" priority="91"/>
    <cfRule type="duplicateValues" dxfId="91" priority="92"/>
    <cfRule type="duplicateValues" dxfId="90" priority="93"/>
  </conditionalFormatting>
  <conditionalFormatting sqref="A29">
    <cfRule type="duplicateValues" dxfId="89" priority="88"/>
    <cfRule type="duplicateValues" dxfId="88" priority="89"/>
    <cfRule type="duplicateValues" dxfId="87" priority="90"/>
  </conditionalFormatting>
  <conditionalFormatting sqref="A30">
    <cfRule type="duplicateValues" dxfId="86" priority="85"/>
    <cfRule type="duplicateValues" dxfId="85" priority="86"/>
    <cfRule type="duplicateValues" dxfId="84" priority="87"/>
  </conditionalFormatting>
  <conditionalFormatting sqref="A31">
    <cfRule type="duplicateValues" dxfId="83" priority="82"/>
    <cfRule type="duplicateValues" dxfId="82" priority="83"/>
    <cfRule type="duplicateValues" dxfId="81" priority="84"/>
  </conditionalFormatting>
  <conditionalFormatting sqref="A32">
    <cfRule type="duplicateValues" dxfId="80" priority="79"/>
    <cfRule type="duplicateValues" dxfId="79" priority="80"/>
    <cfRule type="duplicateValues" dxfId="78" priority="81"/>
  </conditionalFormatting>
  <conditionalFormatting sqref="A33">
    <cfRule type="duplicateValues" dxfId="77" priority="76"/>
    <cfRule type="duplicateValues" dxfId="76" priority="77"/>
    <cfRule type="duplicateValues" dxfId="75" priority="78"/>
  </conditionalFormatting>
  <conditionalFormatting sqref="A34">
    <cfRule type="duplicateValues" dxfId="74" priority="73"/>
    <cfRule type="duplicateValues" dxfId="73" priority="74"/>
    <cfRule type="duplicateValues" dxfId="72" priority="75"/>
  </conditionalFormatting>
  <conditionalFormatting sqref="A35">
    <cfRule type="duplicateValues" dxfId="71" priority="70"/>
    <cfRule type="duplicateValues" dxfId="70" priority="71"/>
    <cfRule type="duplicateValues" dxfId="69" priority="72"/>
  </conditionalFormatting>
  <conditionalFormatting sqref="A36">
    <cfRule type="duplicateValues" dxfId="68" priority="67"/>
    <cfRule type="duplicateValues" dxfId="67" priority="68"/>
    <cfRule type="duplicateValues" dxfId="66" priority="69"/>
  </conditionalFormatting>
  <conditionalFormatting sqref="A37">
    <cfRule type="duplicateValues" dxfId="65" priority="64"/>
    <cfRule type="duplicateValues" dxfId="64" priority="65"/>
    <cfRule type="duplicateValues" dxfId="63" priority="66"/>
  </conditionalFormatting>
  <conditionalFormatting sqref="A38">
    <cfRule type="duplicateValues" dxfId="62" priority="61"/>
    <cfRule type="duplicateValues" dxfId="61" priority="62"/>
    <cfRule type="duplicateValues" dxfId="60" priority="63"/>
  </conditionalFormatting>
  <conditionalFormatting sqref="A39">
    <cfRule type="duplicateValues" dxfId="59" priority="58"/>
    <cfRule type="duplicateValues" dxfId="58" priority="59"/>
    <cfRule type="duplicateValues" dxfId="57" priority="60"/>
  </conditionalFormatting>
  <conditionalFormatting sqref="A40">
    <cfRule type="duplicateValues" dxfId="56" priority="55"/>
    <cfRule type="duplicateValues" dxfId="55" priority="56"/>
    <cfRule type="duplicateValues" dxfId="54" priority="57"/>
  </conditionalFormatting>
  <conditionalFormatting sqref="A41">
    <cfRule type="duplicateValues" dxfId="53" priority="52"/>
    <cfRule type="duplicateValues" dxfId="52" priority="53"/>
    <cfRule type="duplicateValues" dxfId="51" priority="54"/>
  </conditionalFormatting>
  <conditionalFormatting sqref="A42">
    <cfRule type="duplicateValues" dxfId="50" priority="49"/>
    <cfRule type="duplicateValues" dxfId="49" priority="50"/>
    <cfRule type="duplicateValues" dxfId="48" priority="51"/>
  </conditionalFormatting>
  <conditionalFormatting sqref="A43">
    <cfRule type="duplicateValues" dxfId="47" priority="46"/>
    <cfRule type="duplicateValues" dxfId="46" priority="47"/>
    <cfRule type="duplicateValues" dxfId="45" priority="48"/>
  </conditionalFormatting>
  <conditionalFormatting sqref="A44">
    <cfRule type="duplicateValues" dxfId="44" priority="43"/>
    <cfRule type="duplicateValues" dxfId="43" priority="44"/>
    <cfRule type="duplicateValues" dxfId="42" priority="45"/>
  </conditionalFormatting>
  <conditionalFormatting sqref="A45">
    <cfRule type="duplicateValues" dxfId="41" priority="40"/>
    <cfRule type="duplicateValues" dxfId="40" priority="41"/>
    <cfRule type="duplicateValues" dxfId="39" priority="42"/>
  </conditionalFormatting>
  <conditionalFormatting sqref="A46">
    <cfRule type="duplicateValues" dxfId="38" priority="37"/>
    <cfRule type="duplicateValues" dxfId="37" priority="38"/>
    <cfRule type="duplicateValues" dxfId="36" priority="39"/>
  </conditionalFormatting>
  <conditionalFormatting sqref="A47">
    <cfRule type="duplicateValues" dxfId="35" priority="34"/>
    <cfRule type="duplicateValues" dxfId="34" priority="35"/>
    <cfRule type="duplicateValues" dxfId="33" priority="36"/>
  </conditionalFormatting>
  <conditionalFormatting sqref="A50">
    <cfRule type="duplicateValues" dxfId="32" priority="31"/>
    <cfRule type="duplicateValues" dxfId="31" priority="32"/>
    <cfRule type="duplicateValues" dxfId="30" priority="33"/>
  </conditionalFormatting>
  <conditionalFormatting sqref="A51">
    <cfRule type="duplicateValues" dxfId="29" priority="28"/>
    <cfRule type="duplicateValues" dxfId="28" priority="29"/>
    <cfRule type="duplicateValues" dxfId="27" priority="30"/>
  </conditionalFormatting>
  <conditionalFormatting sqref="A52">
    <cfRule type="duplicateValues" dxfId="26" priority="25"/>
    <cfRule type="duplicateValues" dxfId="25" priority="26"/>
    <cfRule type="duplicateValues" dxfId="24" priority="27"/>
  </conditionalFormatting>
  <conditionalFormatting sqref="A53">
    <cfRule type="duplicateValues" dxfId="23" priority="22"/>
    <cfRule type="duplicateValues" dxfId="22" priority="23"/>
    <cfRule type="duplicateValues" dxfId="21" priority="24"/>
  </conditionalFormatting>
  <conditionalFormatting sqref="A54">
    <cfRule type="duplicateValues" dxfId="20" priority="19"/>
    <cfRule type="duplicateValues" dxfId="19" priority="20"/>
    <cfRule type="duplicateValues" dxfId="18" priority="21"/>
  </conditionalFormatting>
  <conditionalFormatting sqref="A55">
    <cfRule type="duplicateValues" dxfId="17" priority="16"/>
    <cfRule type="duplicateValues" dxfId="16" priority="17"/>
    <cfRule type="duplicateValues" dxfId="15" priority="18"/>
  </conditionalFormatting>
  <conditionalFormatting sqref="A56">
    <cfRule type="duplicateValues" dxfId="14" priority="13"/>
    <cfRule type="duplicateValues" dxfId="13" priority="14"/>
    <cfRule type="duplicateValues" dxfId="12" priority="15"/>
  </conditionalFormatting>
  <conditionalFormatting sqref="A57">
    <cfRule type="duplicateValues" dxfId="11" priority="10"/>
    <cfRule type="duplicateValues" dxfId="10" priority="11"/>
    <cfRule type="duplicateValues" dxfId="9" priority="12"/>
  </conditionalFormatting>
  <conditionalFormatting sqref="A60">
    <cfRule type="duplicateValues" dxfId="8" priority="7"/>
    <cfRule type="duplicateValues" dxfId="7" priority="8"/>
    <cfRule type="duplicateValues" dxfId="6" priority="9"/>
  </conditionalFormatting>
  <conditionalFormatting sqref="A61">
    <cfRule type="duplicateValues" dxfId="5" priority="4"/>
    <cfRule type="duplicateValues" dxfId="4" priority="5"/>
    <cfRule type="duplicateValues" dxfId="3" priority="6"/>
  </conditionalFormatting>
  <conditionalFormatting sqref="A6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bank</vt:lpstr>
      <vt:lpstr>не трогать</vt:lpstr>
      <vt:lpstr>KETGAN</vt:lpstr>
      <vt:lpstr>1 chi kurs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Ozodbek Napasov</cp:lastModifiedBy>
  <cp:lastPrinted>2025-01-10T12:35:39Z</cp:lastPrinted>
  <dcterms:created xsi:type="dcterms:W3CDTF">2015-06-05T18:19:34Z</dcterms:created>
  <dcterms:modified xsi:type="dcterms:W3CDTF">2026-10-06T05:04:07Z</dcterms:modified>
</cp:coreProperties>
</file>